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TOS\AUTOMAÇÃO COM IA\PROJETO APP IMPOSTO DE RENDA\"/>
    </mc:Choice>
  </mc:AlternateContent>
  <xr:revisionPtr revIDLastSave="0" documentId="8_{9210EEC7-D6D9-440F-8A77-326267658746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MENU" sheetId="1" r:id="rId1"/>
    <sheet name="TITULAR" sheetId="2" r:id="rId2"/>
    <sheet name="DEPENDENTES" sheetId="3" r:id="rId3"/>
    <sheet name="INFORMES" sheetId="4" r:id="rId4"/>
    <sheet name="BENS" sheetId="5" r:id="rId5"/>
    <sheet name="DIVIDAS" sheetId="6" r:id="rId6"/>
    <sheet name="DESPESAS" sheetId="7" r:id="rId7"/>
    <sheet name="RENDIMENTOS" sheetId="8" r:id="rId8"/>
    <sheet name="CHECKLIST" sheetId="9" r:id="rId9"/>
    <sheet name="RESUMO" sheetId="10" r:id="rId10"/>
    <sheet name="TABELAS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0" l="1"/>
  <c r="C33" i="10"/>
  <c r="C32" i="10"/>
  <c r="C31" i="10"/>
  <c r="C30" i="10"/>
  <c r="C29" i="10"/>
  <c r="C28" i="10"/>
  <c r="C27" i="10"/>
  <c r="C26" i="10"/>
  <c r="C25" i="10"/>
  <c r="C24" i="10"/>
  <c r="C23" i="10"/>
  <c r="B19" i="10"/>
  <c r="E15" i="10"/>
  <c r="B15" i="10"/>
  <c r="E12" i="10"/>
  <c r="B12" i="10"/>
  <c r="E9" i="10"/>
  <c r="B9" i="10"/>
  <c r="E6" i="10"/>
  <c r="B6" i="10"/>
  <c r="C20" i="9"/>
  <c r="E49" i="8"/>
  <c r="D29" i="7"/>
  <c r="E25" i="6"/>
  <c r="D25" i="6"/>
  <c r="F29" i="5"/>
  <c r="E29" i="5"/>
  <c r="C29" i="4"/>
</calcChain>
</file>

<file path=xl/sharedStrings.xml><?xml version="1.0" encoding="utf-8"?>
<sst xmlns="http://schemas.openxmlformats.org/spreadsheetml/2006/main" count="221" uniqueCount="197">
  <si>
    <t>📊 PAINEL EXPANDIDO — DECLARAÇÃO DE IMPOSTO DE RENDA</t>
  </si>
  <si>
    <t>Versão 2 — agregador completo com bens, dívidas, dependentes e despesas dedutíveis</t>
  </si>
  <si>
    <t>Este arquivo organiza todas as informações necessárias para preparar sua declaração de IR.</t>
  </si>
  <si>
    <t>Use os links abaixo para navegar entre as seções. Cada aba também tem um link 'VOLTAR AO MENU' no topo.</t>
  </si>
  <si>
    <t>Dados pessoais do declarante</t>
  </si>
  <si>
    <t>2. DEPENDENTES</t>
  </si>
  <si>
    <t>Filhos, cônjuge e outros dependentes</t>
  </si>
  <si>
    <t>Saldos e extratos por banco (ilimitado)</t>
  </si>
  <si>
    <t>4. BENS E DIREITOS</t>
  </si>
  <si>
    <t>Imóveis, veículos, investimentos e outros bens</t>
  </si>
  <si>
    <t>5. DÍVIDAS E ÔNUS</t>
  </si>
  <si>
    <t>Financiamentos e empréstimos em aberto</t>
  </si>
  <si>
    <t>6. DESPESAS DEDUTÍVEIS</t>
  </si>
  <si>
    <t>Saúde, educação, previdência e pensão</t>
  </si>
  <si>
    <t>7. RENDIMENTOS MENSAIS</t>
  </si>
  <si>
    <t>Lançamentos de receita mês a mês</t>
  </si>
  <si>
    <t>8. CHECKLIST DE DOCUMENTOS</t>
  </si>
  <si>
    <t>Controle do que já foi reunido</t>
  </si>
  <si>
    <t>9. RESUMO GERAL</t>
  </si>
  <si>
    <t>Painel consolidado e gráfico de evolução</t>
  </si>
  <si>
    <t>1. DADOS DO TITULAR</t>
  </si>
  <si>
    <t>Preencha os dados da sua pessoa física</t>
  </si>
  <si>
    <t>NOME</t>
  </si>
  <si>
    <t>CPF</t>
  </si>
  <si>
    <t>NASCIMENTO</t>
  </si>
  <si>
    <t>TÍTULO DE ELEITOR</t>
  </si>
  <si>
    <t>CÔNJUGE / COMPANHEIRO(A)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</si>
  <si>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</si>
  <si>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</si>
  <si>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</si>
  <si>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</si>
  <si>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</si>
  <si>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</si>
  <si>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</si>
  <si>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</si>
  <si>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</si>
  <si>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Cadastre filhos, cônjuge e demais dependentes da declaração</t>
  </si>
  <si>
    <t>PARENTESCO</t>
  </si>
  <si>
    <t>DATA DE NASCIMENTO</t>
  </si>
  <si>
    <t>(exemplo — apague esta linha)</t>
  </si>
  <si>
    <t>000.000.000-00</t>
  </si>
  <si>
    <t>Filho(a)</t>
  </si>
  <si>
    <t>3. INFORMES DE RENDIMENTOS BANCÁRIOS</t>
  </si>
  <si>
    <t>Cadastre quantos bancos forem necessários</t>
  </si>
  <si>
    <t>BANCO</t>
  </si>
  <si>
    <t>SALDO ATUAL</t>
  </si>
  <si>
    <t>ANEXO 📎</t>
  </si>
  <si>
    <t>EXTRATO_2025.PDF</t>
  </si>
  <si>
    <t>TOTAL</t>
  </si>
  <si>
    <t>Imóveis, veículos, investimentos e demais bens do patrimônio</t>
  </si>
  <si>
    <t>TIPO DE BEM</t>
  </si>
  <si>
    <t>DESCRIÇÃO</t>
  </si>
  <si>
    <t>DATA DE AQUISIÇÃO</t>
  </si>
  <si>
    <t>SITUAÇÃO ANO ANTERIOR</t>
  </si>
  <si>
    <t>SITUAÇÃO ANO ATUAL</t>
  </si>
  <si>
    <t>Imóvel Residencial</t>
  </si>
  <si>
    <t>TIPO DE DÍVIDA</t>
  </si>
  <si>
    <t>CREDOR</t>
  </si>
  <si>
    <t>Financiamento Imobiliário</t>
  </si>
  <si>
    <t>Saúde, educação, previdência e pensão alimentícia</t>
  </si>
  <si>
    <t>CATEGORIA</t>
  </si>
  <si>
    <t>DESCRIÇÃO / PRESTADOR</t>
  </si>
  <si>
    <t>VALOR</t>
  </si>
  <si>
    <t>Saúde</t>
  </si>
  <si>
    <t>RECIBO.PDF</t>
  </si>
  <si>
    <t>Lançamentos de entrada de receita, mês a mês</t>
  </si>
  <si>
    <t>DATA</t>
  </si>
  <si>
    <t>TIPO DE RENDIMENTO</t>
  </si>
  <si>
    <t>HOLERITE</t>
  </si>
  <si>
    <t>Tributável</t>
  </si>
  <si>
    <t>Controle do que já foi reunido para a declaração</t>
  </si>
  <si>
    <t>DOCUMENTO</t>
  </si>
  <si>
    <t>NECESSÁRIO</t>
  </si>
  <si>
    <t>ANEXADO</t>
  </si>
  <si>
    <t>OBSERVAÇÃO</t>
  </si>
  <si>
    <t>Informe de Rendimentos (salário / pró-labore)</t>
  </si>
  <si>
    <t>Informe de Rendimentos Bancários e Investimentos</t>
  </si>
  <si>
    <t>Recibos de Despesas Médicas e Odontológicas</t>
  </si>
  <si>
    <t>Recibos de Despesas com Educação</t>
  </si>
  <si>
    <t>Comprovante de Previdência Privada (PGBL)</t>
  </si>
  <si>
    <t>Comprovante de Pensão Alimentícia Paga</t>
  </si>
  <si>
    <t>Escritura ou Contrato de Compra de Imóvel</t>
  </si>
  <si>
    <t>Documento (CRLV) de Veículo</t>
  </si>
  <si>
    <t>Comprovante de Aluguel Recebido ou Pago</t>
  </si>
  <si>
    <t>Extrato de Corretora / Criptoativos</t>
  </si>
  <si>
    <t>Comprovante de Doações</t>
  </si>
  <si>
    <t>Declaração do Ano Anterior (para importação de dados)</t>
  </si>
  <si>
    <t>DOCUMENTOS ANEXADOS</t>
  </si>
  <si>
    <t>Painel consolidado da sua declaração</t>
  </si>
  <si>
    <t>Total de Rendimentos</t>
  </si>
  <si>
    <t>Total Saldo Bancário</t>
  </si>
  <si>
    <t>Total de Bens (Ano Atual)</t>
  </si>
  <si>
    <t>Total de Dívidas (Ano Atual)</t>
  </si>
  <si>
    <t>Patrimônio Líquido (Ano Atual)</t>
  </si>
  <si>
    <t>Patrimônio Líquido (Ano Anterior)</t>
  </si>
  <si>
    <t>Variação Patrimonial no Ano</t>
  </si>
  <si>
    <t>Total de Despesas Dedutíveis</t>
  </si>
  <si>
    <t>Documentos Anexados</t>
  </si>
  <si>
    <t>Evolução Mensal de Rendimentos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</si>
  <si>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</si>
  <si>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</si>
  <si>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</si>
  <si>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</si>
  <si>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</si>
  <si>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</si>
  <si>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</si>
  <si>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</si>
  <si>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</si>
  <si>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</si>
  <si>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</si>
  <si>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</si>
  <si>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</si>
  <si>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BANCOS</t>
  </si>
  <si>
    <t>TIPO_BEM</t>
  </si>
  <si>
    <t>TIPO_DIVIDA</t>
  </si>
  <si>
    <t>CATEGORIA_DESPESA</t>
  </si>
  <si>
    <t>TIPO_RENDIMENTO</t>
  </si>
  <si>
    <t>CATEGORIA_RENDIMENTO</t>
  </si>
  <si>
    <t>1 - Banco do Brasil</t>
  </si>
  <si>
    <t>102 - XP Investimentos CCTVM S.A.</t>
  </si>
  <si>
    <t>Cônjuge/Companheiro(a)</t>
  </si>
  <si>
    <t>Imóvel Comercial</t>
  </si>
  <si>
    <t>Financiamento de Veículo</t>
  </si>
  <si>
    <t>Educação</t>
  </si>
  <si>
    <t>Isento</t>
  </si>
  <si>
    <t>CNPJ</t>
  </si>
  <si>
    <t>104 - Caixa Econômica Federal</t>
  </si>
  <si>
    <t>Pai</t>
  </si>
  <si>
    <t>Veículo</t>
  </si>
  <si>
    <t>Empréstimo Pessoal</t>
  </si>
  <si>
    <t>Previdência Privada (PGBL)</t>
  </si>
  <si>
    <t>Rendimento Exclusivo</t>
  </si>
  <si>
    <t>FREE LANCE</t>
  </si>
  <si>
    <t>119 - Banco Western Union do Brasil</t>
  </si>
  <si>
    <t>Mãe</t>
  </si>
  <si>
    <t>Conta Corrente/Poupança</t>
  </si>
  <si>
    <t>Cartão de Crédito Parcelado</t>
  </si>
  <si>
    <t>Pensão Alimentícia</t>
  </si>
  <si>
    <t>PIX</t>
  </si>
  <si>
    <t>184 - Banco Itaú BBA S.A.</t>
  </si>
  <si>
    <t>Enteado(a)</t>
  </si>
  <si>
    <t>Aplicação Financeira</t>
  </si>
  <si>
    <t>Outras Dívidas e Ônus</t>
  </si>
  <si>
    <t>Instrução de Dependente</t>
  </si>
  <si>
    <t>ALUGUEL</t>
  </si>
  <si>
    <t>197 - Stone Pagamentos</t>
  </si>
  <si>
    <t>Neto(a)</t>
  </si>
  <si>
    <t>Ações / Fundos Imobiliários</t>
  </si>
  <si>
    <t>Outras Despesas Dedutíveis</t>
  </si>
  <si>
    <t>OUTROS</t>
  </si>
  <si>
    <t>208 - Banco BTG Pactual</t>
  </si>
  <si>
    <t>Outro</t>
  </si>
  <si>
    <t>Criptoativo</t>
  </si>
  <si>
    <t>212 - Banco Original</t>
  </si>
  <si>
    <t>Outros Bens e Direitos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</si>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</sst>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FFFF"/>
      <name val="Calibri"/>
    </font>
    <font>
      <i/>
      <sz val="10"/>
      <color rgb="FFFFFFFF"/>
      <name val="Calibri"/>
    </font>
    <font>
      <sz val="10"/>
      <color rgb="FF595959"/>
      <name val="Calibri"/>
    </font>
    <font>
      <b/>
      <u/>
      <sz val="12"/>
      <color rgb="FF1155CC"/>
      <name val="Calibri"/>
    </font>
    <font>
      <b/>
      <u/>
      <sz val="10"/>
      <color rgb="FF1155CC"/>
      <name val="Calibri"/>
    </font>
    <font>
      <b/>
      <sz val="10"/>
      <color rgb="FF1F3864"/>
      <name val="Calibri"/>
    </font>
    <font>
      <b/>
      <sz val="11"/>
      <color rgb="FFFFFFFF"/>
      <name val="Calibri"/>
    </font>
    <font>
      <i/>
      <sz val="10"/>
      <color rgb="FF7F6000"/>
      <name val="Calibri"/>
    </font>
    <font>
      <b/>
      <sz val="12"/>
      <color rgb="FF1F3864"/>
      <name val="Calibri"/>
    </font>
    <font>
      <b/>
      <sz val="11"/>
      <color rgb="FF1F3864"/>
      <name val="Calibri"/>
    </font>
    <font>
      <b/>
      <sz val="10"/>
      <color rgb="FF595959"/>
      <name val="Calibri"/>
    </font>
    <font>
      <b/>
      <sz val="18"/>
      <color rgb="FF1F3864"/>
      <name val="Calibri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C9A227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6" fillId="0" borderId="0" xfId="0" applyFont="1"/>
    <xf numFmtId="0" fontId="0" fillId="0" borderId="1" xfId="0" applyBorder="1"/>
    <xf numFmtId="0" fontId="8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7" fillId="5" borderId="0" xfId="0" applyFont="1" applyFill="1"/>
    <xf numFmtId="164" fontId="10" fillId="0" borderId="0" xfId="0" applyNumberFormat="1" applyFont="1"/>
    <xf numFmtId="164" fontId="11" fillId="0" borderId="0" xfId="0" applyNumberFormat="1" applyFont="1"/>
    <xf numFmtId="0" fontId="11" fillId="0" borderId="0" xfId="0" applyFont="1"/>
    <xf numFmtId="0" fontId="10" fillId="0" borderId="0" xfId="0" applyFont="1"/>
    <xf numFmtId="0" fontId="1" fillId="0" borderId="0" xfId="0" applyFont="1"/>
    <xf numFmtId="0" fontId="3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164" fontId="13" fillId="6" borderId="1" xfId="0" applyNumberFormat="1" applyFont="1" applyFill="1" applyBorder="1"/>
    <xf numFmtId="0" fontId="0" fillId="6" borderId="1" xfId="0" applyFill="1" applyBorder="1"/>
    <xf numFmtId="0" fontId="12" fillId="6" borderId="1" xfId="0" applyFont="1" applyFill="1" applyBorder="1"/>
    <xf numFmtId="0" fontId="13" fillId="6" borderId="1" xfId="0" applyFont="1" applyFill="1" applyBorder="1"/>
    <xf numFmtId="0" fontId="15" fillId="0" borderId="0" xfId="1" applyFont="1"/>
    <xf numFmtId="0" fontId="7" fillId="3" borderId="1" xfId="0" applyFont="1" applyFill="1" applyBorder="1" applyAlignment="1">
      <alignment horizontal="right"/>
    </xf>
    <xf numFmtId="0" fontId="0" fillId="7" borderId="0" xfId="0" applyFill="1"/>
    <xf numFmtId="0" fontId="4" fillId="7" borderId="0" xfId="0" applyFont="1" applyFill="1"/>
    <xf numFmtId="0" fontId="5" fillId="7" borderId="0" xfId="0" applyFont="1" applyFill="1"/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9" fillId="4" borderId="1" xfId="0" applyFont="1" applyFill="1" applyBorder="1" applyProtection="1">
      <protection locked="0"/>
    </xf>
    <xf numFmtId="14" fontId="9" fillId="4" borderId="1" xfId="0" applyNumberFormat="1" applyFont="1" applyFill="1" applyBorder="1" applyProtection="1">
      <protection locked="0"/>
    </xf>
    <xf numFmtId="164" fontId="9" fillId="4" borderId="1" xfId="0" applyNumberFormat="1" applyFont="1" applyFill="1" applyBorder="1" applyProtection="1">
      <protection locked="0"/>
    </xf>
    <xf numFmtId="164" fontId="0" fillId="0" borderId="1" xfId="0" applyNumberFormat="1" applyBorder="1" applyProtection="1">
      <protection locked="0"/>
    </xf>
  </cellXfs>
  <cellStyles count="2">
    <cellStyle name="Hiperlink" xfId="1" builtinId="8"/>
    <cellStyle name="Normal" xfId="0" builtinId="0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Evolução Mensal de Rendimentos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RESUMO!$C$22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RESUMO!$B$23:$B$34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RESUMO!$C$23:$C$34</c:f>
              <c:numCache>
                <c:formatCode>\R\$\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A-434D-A12A-E00FFC294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CHECKLIST!G1"/><Relationship Id="rId13" Type="http://schemas.openxmlformats.org/officeDocument/2006/relationships/image" Target="../media/image2.png"/><Relationship Id="rId3" Type="http://schemas.openxmlformats.org/officeDocument/2006/relationships/hyperlink" Target="#INFORMES!G1"/><Relationship Id="rId7" Type="http://schemas.openxmlformats.org/officeDocument/2006/relationships/hyperlink" Target="#RENDIMENTOS!G1"/><Relationship Id="rId12" Type="http://schemas.openxmlformats.org/officeDocument/2006/relationships/hyperlink" Target="https://github.com/felipesilvafernandes-droid" TargetMode="External"/><Relationship Id="rId2" Type="http://schemas.openxmlformats.org/officeDocument/2006/relationships/hyperlink" Target="#DEPENDENTES!G1"/><Relationship Id="rId1" Type="http://schemas.openxmlformats.org/officeDocument/2006/relationships/hyperlink" Target="#TITULAR!G1"/><Relationship Id="rId6" Type="http://schemas.openxmlformats.org/officeDocument/2006/relationships/hyperlink" Target="#DESPESAS!G1"/><Relationship Id="rId11" Type="http://schemas.openxmlformats.org/officeDocument/2006/relationships/image" Target="../media/image1.png"/><Relationship Id="rId5" Type="http://schemas.openxmlformats.org/officeDocument/2006/relationships/hyperlink" Target="#DIVIDAS!G1"/><Relationship Id="rId10" Type="http://schemas.openxmlformats.org/officeDocument/2006/relationships/hyperlink" Target="https://www.linkedin.com/in/felipe-fernandes-372375a8/" TargetMode="External"/><Relationship Id="rId4" Type="http://schemas.openxmlformats.org/officeDocument/2006/relationships/hyperlink" Target="#BENS!G1"/><Relationship Id="rId9" Type="http://schemas.openxmlformats.org/officeDocument/2006/relationships/hyperlink" Target="#RESUMO!I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NDIMENTOS!G1"/><Relationship Id="rId3" Type="http://schemas.openxmlformats.org/officeDocument/2006/relationships/hyperlink" Target="#TITULAR!G1"/><Relationship Id="rId7" Type="http://schemas.openxmlformats.org/officeDocument/2006/relationships/hyperlink" Target="#DESPESAS!G1"/><Relationship Id="rId2" Type="http://schemas.openxmlformats.org/officeDocument/2006/relationships/hyperlink" Target="#DEPENDENTES!G1"/><Relationship Id="rId1" Type="http://schemas.openxmlformats.org/officeDocument/2006/relationships/hyperlink" Target="#MENU!G1"/><Relationship Id="rId6" Type="http://schemas.openxmlformats.org/officeDocument/2006/relationships/hyperlink" Target="#DIVIDAS!G1"/><Relationship Id="rId5" Type="http://schemas.openxmlformats.org/officeDocument/2006/relationships/hyperlink" Target="#BENS!G1"/><Relationship Id="rId10" Type="http://schemas.openxmlformats.org/officeDocument/2006/relationships/hyperlink" Target="#RESUMO!I1"/><Relationship Id="rId4" Type="http://schemas.openxmlformats.org/officeDocument/2006/relationships/hyperlink" Target="#INFORMES!G1"/><Relationship Id="rId9" Type="http://schemas.openxmlformats.org/officeDocument/2006/relationships/hyperlink" Target="#CHECKLIST!G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CHECKLIST!G1"/><Relationship Id="rId3" Type="http://schemas.openxmlformats.org/officeDocument/2006/relationships/hyperlink" Target="#DEPENDENTES!G1"/><Relationship Id="rId7" Type="http://schemas.openxmlformats.org/officeDocument/2006/relationships/hyperlink" Target="#RENDIMENTOS!G1"/><Relationship Id="rId2" Type="http://schemas.openxmlformats.org/officeDocument/2006/relationships/hyperlink" Target="#INFORMES!G1"/><Relationship Id="rId1" Type="http://schemas.openxmlformats.org/officeDocument/2006/relationships/hyperlink" Target="#TITULAR!G1"/><Relationship Id="rId6" Type="http://schemas.openxmlformats.org/officeDocument/2006/relationships/hyperlink" Target="#DESPESAS!G1"/><Relationship Id="rId5" Type="http://schemas.openxmlformats.org/officeDocument/2006/relationships/hyperlink" Target="#DIVIDAS!G1"/><Relationship Id="rId10" Type="http://schemas.openxmlformats.org/officeDocument/2006/relationships/hyperlink" Target="#MENU!G1"/><Relationship Id="rId4" Type="http://schemas.openxmlformats.org/officeDocument/2006/relationships/hyperlink" Target="#BENS!G1"/><Relationship Id="rId9" Type="http://schemas.openxmlformats.org/officeDocument/2006/relationships/hyperlink" Target="#RESUMO!I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CHECKLIST!G1"/><Relationship Id="rId3" Type="http://schemas.openxmlformats.org/officeDocument/2006/relationships/hyperlink" Target="#TITULAR!G1"/><Relationship Id="rId7" Type="http://schemas.openxmlformats.org/officeDocument/2006/relationships/hyperlink" Target="#RENDIMENTOS!G1"/><Relationship Id="rId2" Type="http://schemas.openxmlformats.org/officeDocument/2006/relationships/hyperlink" Target="#BENS!G1"/><Relationship Id="rId1" Type="http://schemas.openxmlformats.org/officeDocument/2006/relationships/hyperlink" Target="#DEPENDENTES!G1"/><Relationship Id="rId6" Type="http://schemas.openxmlformats.org/officeDocument/2006/relationships/hyperlink" Target="#DESPESAS!G1"/><Relationship Id="rId5" Type="http://schemas.openxmlformats.org/officeDocument/2006/relationships/hyperlink" Target="#DIVIDAS!G1"/><Relationship Id="rId10" Type="http://schemas.openxmlformats.org/officeDocument/2006/relationships/hyperlink" Target="#MENU!G1"/><Relationship Id="rId4" Type="http://schemas.openxmlformats.org/officeDocument/2006/relationships/hyperlink" Target="#INFORMES!G1"/><Relationship Id="rId9" Type="http://schemas.openxmlformats.org/officeDocument/2006/relationships/hyperlink" Target="#RESUMO!I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CHECKLIST!G1"/><Relationship Id="rId3" Type="http://schemas.openxmlformats.org/officeDocument/2006/relationships/hyperlink" Target="#TITULAR!G1"/><Relationship Id="rId7" Type="http://schemas.openxmlformats.org/officeDocument/2006/relationships/hyperlink" Target="#RENDIMENTOS!G1"/><Relationship Id="rId2" Type="http://schemas.openxmlformats.org/officeDocument/2006/relationships/hyperlink" Target="#DIVIDAS!G1"/><Relationship Id="rId1" Type="http://schemas.openxmlformats.org/officeDocument/2006/relationships/hyperlink" Target="#INFORMES!G1"/><Relationship Id="rId6" Type="http://schemas.openxmlformats.org/officeDocument/2006/relationships/hyperlink" Target="#DESPESAS!G1"/><Relationship Id="rId5" Type="http://schemas.openxmlformats.org/officeDocument/2006/relationships/hyperlink" Target="#BENS!G1"/><Relationship Id="rId10" Type="http://schemas.openxmlformats.org/officeDocument/2006/relationships/hyperlink" Target="#MENU!G1"/><Relationship Id="rId4" Type="http://schemas.openxmlformats.org/officeDocument/2006/relationships/hyperlink" Target="#DEPENDENTES!G1"/><Relationship Id="rId9" Type="http://schemas.openxmlformats.org/officeDocument/2006/relationships/hyperlink" Target="#RESUMO!I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CHECKLIST!G1"/><Relationship Id="rId3" Type="http://schemas.openxmlformats.org/officeDocument/2006/relationships/hyperlink" Target="#TITULAR!G1"/><Relationship Id="rId7" Type="http://schemas.openxmlformats.org/officeDocument/2006/relationships/hyperlink" Target="#RENDIMENTOS!G1"/><Relationship Id="rId2" Type="http://schemas.openxmlformats.org/officeDocument/2006/relationships/hyperlink" Target="#DESPESAS!G1"/><Relationship Id="rId1" Type="http://schemas.openxmlformats.org/officeDocument/2006/relationships/hyperlink" Target="#BENS!G1"/><Relationship Id="rId6" Type="http://schemas.openxmlformats.org/officeDocument/2006/relationships/hyperlink" Target="#DIVIDAS!G1"/><Relationship Id="rId5" Type="http://schemas.openxmlformats.org/officeDocument/2006/relationships/hyperlink" Target="#INFORMES!G1"/><Relationship Id="rId10" Type="http://schemas.openxmlformats.org/officeDocument/2006/relationships/hyperlink" Target="#MENU!G1"/><Relationship Id="rId4" Type="http://schemas.openxmlformats.org/officeDocument/2006/relationships/hyperlink" Target="#DEPENDENTES!G1"/><Relationship Id="rId9" Type="http://schemas.openxmlformats.org/officeDocument/2006/relationships/hyperlink" Target="#RESUMO!I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CHECKLIST!G1"/><Relationship Id="rId3" Type="http://schemas.openxmlformats.org/officeDocument/2006/relationships/hyperlink" Target="#TITULAR!G1"/><Relationship Id="rId7" Type="http://schemas.openxmlformats.org/officeDocument/2006/relationships/hyperlink" Target="#DESPESAS!G1"/><Relationship Id="rId2" Type="http://schemas.openxmlformats.org/officeDocument/2006/relationships/hyperlink" Target="#RENDIMENTOS!G1"/><Relationship Id="rId1" Type="http://schemas.openxmlformats.org/officeDocument/2006/relationships/hyperlink" Target="#DIVIDAS!G1"/><Relationship Id="rId6" Type="http://schemas.openxmlformats.org/officeDocument/2006/relationships/hyperlink" Target="#BENS!G1"/><Relationship Id="rId5" Type="http://schemas.openxmlformats.org/officeDocument/2006/relationships/hyperlink" Target="#INFORMES!G1"/><Relationship Id="rId10" Type="http://schemas.openxmlformats.org/officeDocument/2006/relationships/hyperlink" Target="#MENU!G1"/><Relationship Id="rId4" Type="http://schemas.openxmlformats.org/officeDocument/2006/relationships/hyperlink" Target="#DEPENDENTES!G1"/><Relationship Id="rId9" Type="http://schemas.openxmlformats.org/officeDocument/2006/relationships/hyperlink" Target="#RESUMO!I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RENDIMENTOS!G1"/><Relationship Id="rId3" Type="http://schemas.openxmlformats.org/officeDocument/2006/relationships/hyperlink" Target="#TITULAR!G1"/><Relationship Id="rId7" Type="http://schemas.openxmlformats.org/officeDocument/2006/relationships/hyperlink" Target="#DIVIDAS!G1"/><Relationship Id="rId2" Type="http://schemas.openxmlformats.org/officeDocument/2006/relationships/hyperlink" Target="#CHECKLIST!G1"/><Relationship Id="rId1" Type="http://schemas.openxmlformats.org/officeDocument/2006/relationships/hyperlink" Target="#DESPESAS!G1"/><Relationship Id="rId6" Type="http://schemas.openxmlformats.org/officeDocument/2006/relationships/hyperlink" Target="#BENS!G1"/><Relationship Id="rId5" Type="http://schemas.openxmlformats.org/officeDocument/2006/relationships/hyperlink" Target="#INFORMES!G1"/><Relationship Id="rId10" Type="http://schemas.openxmlformats.org/officeDocument/2006/relationships/hyperlink" Target="#MENU!G1"/><Relationship Id="rId4" Type="http://schemas.openxmlformats.org/officeDocument/2006/relationships/hyperlink" Target="#DEPENDENTES!G1"/><Relationship Id="rId9" Type="http://schemas.openxmlformats.org/officeDocument/2006/relationships/hyperlink" Target="#RESUMO!I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DESPESAS!G1"/><Relationship Id="rId3" Type="http://schemas.openxmlformats.org/officeDocument/2006/relationships/hyperlink" Target="#TITULAR!G1"/><Relationship Id="rId7" Type="http://schemas.openxmlformats.org/officeDocument/2006/relationships/hyperlink" Target="#DIVIDAS!G1"/><Relationship Id="rId2" Type="http://schemas.openxmlformats.org/officeDocument/2006/relationships/hyperlink" Target="#RESUMO!I1"/><Relationship Id="rId1" Type="http://schemas.openxmlformats.org/officeDocument/2006/relationships/hyperlink" Target="#RENDIMENTOS!G1"/><Relationship Id="rId6" Type="http://schemas.openxmlformats.org/officeDocument/2006/relationships/hyperlink" Target="#BENS!G1"/><Relationship Id="rId5" Type="http://schemas.openxmlformats.org/officeDocument/2006/relationships/hyperlink" Target="#INFORMES!G1"/><Relationship Id="rId10" Type="http://schemas.openxmlformats.org/officeDocument/2006/relationships/hyperlink" Target="#MENU!G1"/><Relationship Id="rId4" Type="http://schemas.openxmlformats.org/officeDocument/2006/relationships/hyperlink" Target="#DEPENDENTES!G1"/><Relationship Id="rId9" Type="http://schemas.openxmlformats.org/officeDocument/2006/relationships/hyperlink" Target="#CHECKLIST!G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DESPESAS!G1"/><Relationship Id="rId3" Type="http://schemas.openxmlformats.org/officeDocument/2006/relationships/hyperlink" Target="#TITULAR!G1"/><Relationship Id="rId7" Type="http://schemas.openxmlformats.org/officeDocument/2006/relationships/hyperlink" Target="#DIVIDAS!G1"/><Relationship Id="rId2" Type="http://schemas.openxmlformats.org/officeDocument/2006/relationships/hyperlink" Target="#CHECKLIST!G1"/><Relationship Id="rId1" Type="http://schemas.openxmlformats.org/officeDocument/2006/relationships/chart" Target="../charts/chart1.xml"/><Relationship Id="rId6" Type="http://schemas.openxmlformats.org/officeDocument/2006/relationships/hyperlink" Target="#BENS!G1"/><Relationship Id="rId11" Type="http://schemas.openxmlformats.org/officeDocument/2006/relationships/hyperlink" Target="#MENU!G1"/><Relationship Id="rId5" Type="http://schemas.openxmlformats.org/officeDocument/2006/relationships/hyperlink" Target="#INFORMES!G1"/><Relationship Id="rId10" Type="http://schemas.openxmlformats.org/officeDocument/2006/relationships/hyperlink" Target="#RESUMO!I1"/><Relationship Id="rId4" Type="http://schemas.openxmlformats.org/officeDocument/2006/relationships/hyperlink" Target="#DEPENDENTES!G1"/><Relationship Id="rId9" Type="http://schemas.openxmlformats.org/officeDocument/2006/relationships/hyperlink" Target="#RENDIMENTOS!G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</xdr:colOff>
      <xdr:row>6</xdr:row>
      <xdr:rowOff>175260</xdr:rowOff>
    </xdr:from>
    <xdr:to>
      <xdr:col>1</xdr:col>
      <xdr:colOff>1771650</xdr:colOff>
      <xdr:row>8</xdr:row>
      <xdr:rowOff>99060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C2EDE9-FEE9-7A6B-7FE6-6C6CB6766B59}"/>
            </a:ext>
          </a:extLst>
        </xdr:cNvPr>
        <xdr:cNvSpPr/>
      </xdr:nvSpPr>
      <xdr:spPr>
        <a:xfrm>
          <a:off x="49530" y="1463040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49530</xdr:colOff>
      <xdr:row>8</xdr:row>
      <xdr:rowOff>165735</xdr:rowOff>
    </xdr:from>
    <xdr:to>
      <xdr:col>1</xdr:col>
      <xdr:colOff>1771650</xdr:colOff>
      <xdr:row>10</xdr:row>
      <xdr:rowOff>89535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5DD6FC-6D2C-450B-BD5E-AEEEDE9B5F18}"/>
            </a:ext>
          </a:extLst>
        </xdr:cNvPr>
        <xdr:cNvSpPr/>
      </xdr:nvSpPr>
      <xdr:spPr>
        <a:xfrm>
          <a:off x="49530" y="1834515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49530</xdr:colOff>
      <xdr:row>10</xdr:row>
      <xdr:rowOff>156210</xdr:rowOff>
    </xdr:from>
    <xdr:to>
      <xdr:col>1</xdr:col>
      <xdr:colOff>1771650</xdr:colOff>
      <xdr:row>12</xdr:row>
      <xdr:rowOff>80010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A10E0F-FC6B-4B70-8BBE-88C7E2F53B5F}"/>
            </a:ext>
          </a:extLst>
        </xdr:cNvPr>
        <xdr:cNvSpPr/>
      </xdr:nvSpPr>
      <xdr:spPr>
        <a:xfrm>
          <a:off x="49530" y="2205990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49530</xdr:colOff>
      <xdr:row>12</xdr:row>
      <xdr:rowOff>146685</xdr:rowOff>
    </xdr:from>
    <xdr:to>
      <xdr:col>1</xdr:col>
      <xdr:colOff>1771650</xdr:colOff>
      <xdr:row>14</xdr:row>
      <xdr:rowOff>70485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9166F4-628A-4523-AAAE-E87769FD197C}"/>
            </a:ext>
          </a:extLst>
        </xdr:cNvPr>
        <xdr:cNvSpPr/>
      </xdr:nvSpPr>
      <xdr:spPr>
        <a:xfrm>
          <a:off x="49530" y="2577465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49530</xdr:colOff>
      <xdr:row>14</xdr:row>
      <xdr:rowOff>137160</xdr:rowOff>
    </xdr:from>
    <xdr:to>
      <xdr:col>1</xdr:col>
      <xdr:colOff>1771650</xdr:colOff>
      <xdr:row>16</xdr:row>
      <xdr:rowOff>60960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85CB73-4424-4498-A134-435843B84114}"/>
            </a:ext>
          </a:extLst>
        </xdr:cNvPr>
        <xdr:cNvSpPr/>
      </xdr:nvSpPr>
      <xdr:spPr>
        <a:xfrm>
          <a:off x="49530" y="2948940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49530</xdr:colOff>
      <xdr:row>16</xdr:row>
      <xdr:rowOff>127635</xdr:rowOff>
    </xdr:from>
    <xdr:to>
      <xdr:col>1</xdr:col>
      <xdr:colOff>1771650</xdr:colOff>
      <xdr:row>18</xdr:row>
      <xdr:rowOff>51435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8BA062-7A0F-45E8-B842-8D6EB4D02B86}"/>
            </a:ext>
          </a:extLst>
        </xdr:cNvPr>
        <xdr:cNvSpPr/>
      </xdr:nvSpPr>
      <xdr:spPr>
        <a:xfrm>
          <a:off x="49530" y="3320415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49530</xdr:colOff>
      <xdr:row>18</xdr:row>
      <xdr:rowOff>118110</xdr:rowOff>
    </xdr:from>
    <xdr:to>
      <xdr:col>1</xdr:col>
      <xdr:colOff>1771650</xdr:colOff>
      <xdr:row>20</xdr:row>
      <xdr:rowOff>41910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9F5021-708D-47B0-8CB5-1F3AC769D70C}"/>
            </a:ext>
          </a:extLst>
        </xdr:cNvPr>
        <xdr:cNvSpPr/>
      </xdr:nvSpPr>
      <xdr:spPr>
        <a:xfrm>
          <a:off x="49530" y="3691890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49530</xdr:colOff>
      <xdr:row>20</xdr:row>
      <xdr:rowOff>108585</xdr:rowOff>
    </xdr:from>
    <xdr:to>
      <xdr:col>1</xdr:col>
      <xdr:colOff>1771650</xdr:colOff>
      <xdr:row>22</xdr:row>
      <xdr:rowOff>32385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178C912-8D26-493A-AA07-E0DB755ADADF}"/>
            </a:ext>
          </a:extLst>
        </xdr:cNvPr>
        <xdr:cNvSpPr/>
      </xdr:nvSpPr>
      <xdr:spPr>
        <a:xfrm>
          <a:off x="49530" y="4063365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49530</xdr:colOff>
      <xdr:row>22</xdr:row>
      <xdr:rowOff>99060</xdr:rowOff>
    </xdr:from>
    <xdr:to>
      <xdr:col>1</xdr:col>
      <xdr:colOff>1771650</xdr:colOff>
      <xdr:row>24</xdr:row>
      <xdr:rowOff>22860</xdr:rowOff>
    </xdr:to>
    <xdr:sp macro="" textlink="">
      <xdr:nvSpPr>
        <xdr:cNvPr id="10" name="Retângul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1881218-6A51-4E75-AA5B-A120902830E2}"/>
            </a:ext>
          </a:extLst>
        </xdr:cNvPr>
        <xdr:cNvSpPr/>
      </xdr:nvSpPr>
      <xdr:spPr>
        <a:xfrm>
          <a:off x="49530" y="4434840"/>
          <a:ext cx="1927860" cy="304800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0</xdr:col>
      <xdr:colOff>160020</xdr:colOff>
      <xdr:row>25</xdr:row>
      <xdr:rowOff>0</xdr:rowOff>
    </xdr:from>
    <xdr:to>
      <xdr:col>1</xdr:col>
      <xdr:colOff>898276</xdr:colOff>
      <xdr:row>30</xdr:row>
      <xdr:rowOff>33338</xdr:rowOff>
    </xdr:to>
    <xdr:pic>
      <xdr:nvPicPr>
        <xdr:cNvPr id="13" name="Imagem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A1BA2F1-167F-45B3-B919-F0714E6A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4899660"/>
          <a:ext cx="943996" cy="947738"/>
        </a:xfrm>
        <a:prstGeom prst="rect">
          <a:avLst/>
        </a:prstGeom>
      </xdr:spPr>
    </xdr:pic>
    <xdr:clientData/>
  </xdr:twoCellAnchor>
  <xdr:twoCellAnchor editAs="oneCell">
    <xdr:from>
      <xdr:col>1</xdr:col>
      <xdr:colOff>857451</xdr:colOff>
      <xdr:row>26</xdr:row>
      <xdr:rowOff>1429</xdr:rowOff>
    </xdr:from>
    <xdr:to>
      <xdr:col>1</xdr:col>
      <xdr:colOff>1451842</xdr:colOff>
      <xdr:row>29</xdr:row>
      <xdr:rowOff>31909</xdr:rowOff>
    </xdr:to>
    <xdr:pic>
      <xdr:nvPicPr>
        <xdr:cNvPr id="19" name="Imagem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1936E25-8E11-4D08-A995-2190B0DC0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191" y="5083969"/>
          <a:ext cx="594391" cy="579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2129494</xdr:colOff>
      <xdr:row>2</xdr:row>
      <xdr:rowOff>49530</xdr:rowOff>
    </xdr:from>
    <xdr:to>
      <xdr:col>2</xdr:col>
      <xdr:colOff>1596680</xdr:colOff>
      <xdr:row>3</xdr:row>
      <xdr:rowOff>171450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740B5-8785-443D-A7FB-0A2CAD193F8B}"/>
            </a:ext>
          </a:extLst>
        </xdr:cNvPr>
        <xdr:cNvSpPr/>
      </xdr:nvSpPr>
      <xdr:spPr>
        <a:xfrm>
          <a:off x="4240234" y="605790"/>
          <a:ext cx="1928446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2</xdr:col>
      <xdr:colOff>1627160</xdr:colOff>
      <xdr:row>2</xdr:row>
      <xdr:rowOff>49530</xdr:rowOff>
    </xdr:from>
    <xdr:to>
      <xdr:col>5</xdr:col>
      <xdr:colOff>5273</xdr:colOff>
      <xdr:row>3</xdr:row>
      <xdr:rowOff>171450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E2660A-0B7A-4FCD-8B95-B128D3F8AE87}"/>
            </a:ext>
          </a:extLst>
        </xdr:cNvPr>
        <xdr:cNvSpPr/>
      </xdr:nvSpPr>
      <xdr:spPr>
        <a:xfrm>
          <a:off x="6199160" y="60579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83820</xdr:colOff>
      <xdr:row>6</xdr:row>
      <xdr:rowOff>179070</xdr:rowOff>
    </xdr:from>
    <xdr:to>
      <xdr:col>0</xdr:col>
      <xdr:colOff>2011680</xdr:colOff>
      <xdr:row>8</xdr:row>
      <xdr:rowOff>119282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F8494D-6846-4708-803F-2AC110412480}"/>
            </a:ext>
          </a:extLst>
        </xdr:cNvPr>
        <xdr:cNvSpPr/>
      </xdr:nvSpPr>
      <xdr:spPr>
        <a:xfrm>
          <a:off x="83820" y="1466850"/>
          <a:ext cx="1927860" cy="305972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83820</xdr:colOff>
      <xdr:row>9</xdr:row>
      <xdr:rowOff>4249</xdr:rowOff>
    </xdr:from>
    <xdr:to>
      <xdr:col>0</xdr:col>
      <xdr:colOff>2011680</xdr:colOff>
      <xdr:row>10</xdr:row>
      <xdr:rowOff>126072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3C2D61-19CE-45CF-BC5E-BB33280BAC47}"/>
            </a:ext>
          </a:extLst>
        </xdr:cNvPr>
        <xdr:cNvSpPr/>
      </xdr:nvSpPr>
      <xdr:spPr>
        <a:xfrm>
          <a:off x="83820" y="184066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83820</xdr:colOff>
      <xdr:row>11</xdr:row>
      <xdr:rowOff>12309</xdr:rowOff>
    </xdr:from>
    <xdr:to>
      <xdr:col>0</xdr:col>
      <xdr:colOff>2011680</xdr:colOff>
      <xdr:row>12</xdr:row>
      <xdr:rowOff>134131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66A829-2420-42DD-A71D-E6192F3CDFCF}"/>
            </a:ext>
          </a:extLst>
        </xdr:cNvPr>
        <xdr:cNvSpPr/>
      </xdr:nvSpPr>
      <xdr:spPr>
        <a:xfrm>
          <a:off x="83820" y="221448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83820</xdr:colOff>
      <xdr:row>13</xdr:row>
      <xdr:rowOff>20369</xdr:rowOff>
    </xdr:from>
    <xdr:to>
      <xdr:col>0</xdr:col>
      <xdr:colOff>2011680</xdr:colOff>
      <xdr:row>14</xdr:row>
      <xdr:rowOff>142191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13C6EF-473E-448E-9F1C-7B6E110B91A2}"/>
            </a:ext>
          </a:extLst>
        </xdr:cNvPr>
        <xdr:cNvSpPr/>
      </xdr:nvSpPr>
      <xdr:spPr>
        <a:xfrm>
          <a:off x="83820" y="258830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83820</xdr:colOff>
      <xdr:row>15</xdr:row>
      <xdr:rowOff>28428</xdr:rowOff>
    </xdr:from>
    <xdr:to>
      <xdr:col>0</xdr:col>
      <xdr:colOff>2011680</xdr:colOff>
      <xdr:row>16</xdr:row>
      <xdr:rowOff>150251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D6E84BD-5827-4368-B488-824EBBD41A31}"/>
            </a:ext>
          </a:extLst>
        </xdr:cNvPr>
        <xdr:cNvSpPr/>
      </xdr:nvSpPr>
      <xdr:spPr>
        <a:xfrm>
          <a:off x="83820" y="296212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83820</xdr:colOff>
      <xdr:row>17</xdr:row>
      <xdr:rowOff>36488</xdr:rowOff>
    </xdr:from>
    <xdr:to>
      <xdr:col>0</xdr:col>
      <xdr:colOff>2011680</xdr:colOff>
      <xdr:row>18</xdr:row>
      <xdr:rowOff>158310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1B18DD8-ED8C-4082-92F9-FBEC402D8260}"/>
            </a:ext>
          </a:extLst>
        </xdr:cNvPr>
        <xdr:cNvSpPr/>
      </xdr:nvSpPr>
      <xdr:spPr>
        <a:xfrm>
          <a:off x="83820" y="333594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83820</xdr:colOff>
      <xdr:row>19</xdr:row>
      <xdr:rowOff>44547</xdr:rowOff>
    </xdr:from>
    <xdr:to>
      <xdr:col>0</xdr:col>
      <xdr:colOff>2011680</xdr:colOff>
      <xdr:row>20</xdr:row>
      <xdr:rowOff>166370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A171586-D952-42AA-854A-CC79AC8B2862}"/>
            </a:ext>
          </a:extLst>
        </xdr:cNvPr>
        <xdr:cNvSpPr/>
      </xdr:nvSpPr>
      <xdr:spPr>
        <a:xfrm>
          <a:off x="83820" y="370976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83820</xdr:colOff>
      <xdr:row>21</xdr:row>
      <xdr:rowOff>52607</xdr:rowOff>
    </xdr:from>
    <xdr:to>
      <xdr:col>0</xdr:col>
      <xdr:colOff>2011680</xdr:colOff>
      <xdr:row>22</xdr:row>
      <xdr:rowOff>174429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652192-81AA-4907-A4B9-1102C598A098}"/>
            </a:ext>
          </a:extLst>
        </xdr:cNvPr>
        <xdr:cNvSpPr/>
      </xdr:nvSpPr>
      <xdr:spPr>
        <a:xfrm>
          <a:off x="83820" y="408358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83820</xdr:colOff>
      <xdr:row>23</xdr:row>
      <xdr:rowOff>60667</xdr:rowOff>
    </xdr:from>
    <xdr:to>
      <xdr:col>0</xdr:col>
      <xdr:colOff>2011680</xdr:colOff>
      <xdr:row>25</xdr:row>
      <xdr:rowOff>2051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4730338-88B4-4C7A-8D6A-70817F046D47}"/>
            </a:ext>
          </a:extLst>
        </xdr:cNvPr>
        <xdr:cNvSpPr/>
      </xdr:nvSpPr>
      <xdr:spPr>
        <a:xfrm>
          <a:off x="83820" y="445740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0</xdr:col>
      <xdr:colOff>2107220</xdr:colOff>
      <xdr:row>2</xdr:row>
      <xdr:rowOff>49530</xdr:rowOff>
    </xdr:from>
    <xdr:to>
      <xdr:col>1</xdr:col>
      <xdr:colOff>1925513</xdr:colOff>
      <xdr:row>3</xdr:row>
      <xdr:rowOff>171450</xdr:rowOff>
    </xdr:to>
    <xdr:sp macro="" textlink="">
      <xdr:nvSpPr>
        <xdr:cNvPr id="13" name="Retângulo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2B8257-217D-4D8C-86A2-FEED94526814}"/>
            </a:ext>
          </a:extLst>
        </xdr:cNvPr>
        <xdr:cNvSpPr/>
      </xdr:nvSpPr>
      <xdr:spPr>
        <a:xfrm>
          <a:off x="2107220" y="60579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502920</xdr:colOff>
      <xdr:row>2</xdr:row>
      <xdr:rowOff>76786</xdr:rowOff>
    </xdr:from>
    <xdr:to>
      <xdr:col>3</xdr:col>
      <xdr:colOff>1060352</xdr:colOff>
      <xdr:row>4</xdr:row>
      <xdr:rowOff>14654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76744-670D-4A10-B850-1672FD14B805}"/>
            </a:ext>
          </a:extLst>
        </xdr:cNvPr>
        <xdr:cNvSpPr/>
      </xdr:nvSpPr>
      <xdr:spPr>
        <a:xfrm>
          <a:off x="4808220" y="63304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3</xdr:col>
      <xdr:colOff>1090832</xdr:colOff>
      <xdr:row>2</xdr:row>
      <xdr:rowOff>76786</xdr:rowOff>
    </xdr:from>
    <xdr:to>
      <xdr:col>5</xdr:col>
      <xdr:colOff>2345</xdr:colOff>
      <xdr:row>4</xdr:row>
      <xdr:rowOff>14654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05A2BA-4EA5-4139-9866-2C02535AB37F}"/>
            </a:ext>
          </a:extLst>
        </xdr:cNvPr>
        <xdr:cNvSpPr/>
      </xdr:nvSpPr>
      <xdr:spPr>
        <a:xfrm>
          <a:off x="6767732" y="633046"/>
          <a:ext cx="1929033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83820</xdr:colOff>
      <xdr:row>6</xdr:row>
      <xdr:rowOff>0</xdr:rowOff>
    </xdr:from>
    <xdr:to>
      <xdr:col>0</xdr:col>
      <xdr:colOff>2011680</xdr:colOff>
      <xdr:row>7</xdr:row>
      <xdr:rowOff>123092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0D8A63-1FFD-479D-A49F-972C4417DD41}"/>
            </a:ext>
          </a:extLst>
        </xdr:cNvPr>
        <xdr:cNvSpPr/>
      </xdr:nvSpPr>
      <xdr:spPr>
        <a:xfrm>
          <a:off x="83820" y="147066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83820</xdr:colOff>
      <xdr:row>8</xdr:row>
      <xdr:rowOff>8059</xdr:rowOff>
    </xdr:from>
    <xdr:to>
      <xdr:col>0</xdr:col>
      <xdr:colOff>2011680</xdr:colOff>
      <xdr:row>9</xdr:row>
      <xdr:rowOff>129882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4EF7BE-6561-479A-9038-B6538E642DA2}"/>
            </a:ext>
          </a:extLst>
        </xdr:cNvPr>
        <xdr:cNvSpPr/>
      </xdr:nvSpPr>
      <xdr:spPr>
        <a:xfrm>
          <a:off x="83820" y="1844479"/>
          <a:ext cx="1927860" cy="304703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83820</xdr:colOff>
      <xdr:row>10</xdr:row>
      <xdr:rowOff>16119</xdr:rowOff>
    </xdr:from>
    <xdr:to>
      <xdr:col>0</xdr:col>
      <xdr:colOff>2011680</xdr:colOff>
      <xdr:row>11</xdr:row>
      <xdr:rowOff>137941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928FDD-B69E-4AEE-9853-1525669BB79A}"/>
            </a:ext>
          </a:extLst>
        </xdr:cNvPr>
        <xdr:cNvSpPr/>
      </xdr:nvSpPr>
      <xdr:spPr>
        <a:xfrm>
          <a:off x="83820" y="221829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83820</xdr:colOff>
      <xdr:row>12</xdr:row>
      <xdr:rowOff>24179</xdr:rowOff>
    </xdr:from>
    <xdr:to>
      <xdr:col>0</xdr:col>
      <xdr:colOff>2011680</xdr:colOff>
      <xdr:row>13</xdr:row>
      <xdr:rowOff>146001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01E370-796F-4E35-8914-E16CAE099057}"/>
            </a:ext>
          </a:extLst>
        </xdr:cNvPr>
        <xdr:cNvSpPr/>
      </xdr:nvSpPr>
      <xdr:spPr>
        <a:xfrm>
          <a:off x="83820" y="259211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83820</xdr:colOff>
      <xdr:row>14</xdr:row>
      <xdr:rowOff>32238</xdr:rowOff>
    </xdr:from>
    <xdr:to>
      <xdr:col>0</xdr:col>
      <xdr:colOff>2011680</xdr:colOff>
      <xdr:row>15</xdr:row>
      <xdr:rowOff>154061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384583-1E2D-4A83-8A87-27EF6DCC0C13}"/>
            </a:ext>
          </a:extLst>
        </xdr:cNvPr>
        <xdr:cNvSpPr/>
      </xdr:nvSpPr>
      <xdr:spPr>
        <a:xfrm>
          <a:off x="83820" y="296593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83820</xdr:colOff>
      <xdr:row>16</xdr:row>
      <xdr:rowOff>40298</xdr:rowOff>
    </xdr:from>
    <xdr:to>
      <xdr:col>0</xdr:col>
      <xdr:colOff>2011680</xdr:colOff>
      <xdr:row>17</xdr:row>
      <xdr:rowOff>162120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0D5BAFC-F424-490C-91DB-DBA2ECB9266A}"/>
            </a:ext>
          </a:extLst>
        </xdr:cNvPr>
        <xdr:cNvSpPr/>
      </xdr:nvSpPr>
      <xdr:spPr>
        <a:xfrm>
          <a:off x="83820" y="333975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83820</xdr:colOff>
      <xdr:row>18</xdr:row>
      <xdr:rowOff>48357</xdr:rowOff>
    </xdr:from>
    <xdr:to>
      <xdr:col>0</xdr:col>
      <xdr:colOff>2011680</xdr:colOff>
      <xdr:row>19</xdr:row>
      <xdr:rowOff>170180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182B7A-7E73-4398-A4F8-48E69D9AC38C}"/>
            </a:ext>
          </a:extLst>
        </xdr:cNvPr>
        <xdr:cNvSpPr/>
      </xdr:nvSpPr>
      <xdr:spPr>
        <a:xfrm>
          <a:off x="83820" y="371357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83820</xdr:colOff>
      <xdr:row>20</xdr:row>
      <xdr:rowOff>56417</xdr:rowOff>
    </xdr:from>
    <xdr:to>
      <xdr:col>0</xdr:col>
      <xdr:colOff>2011680</xdr:colOff>
      <xdr:row>21</xdr:row>
      <xdr:rowOff>178239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732B3-1F9C-4B83-B41E-607FD22ED890}"/>
            </a:ext>
          </a:extLst>
        </xdr:cNvPr>
        <xdr:cNvSpPr/>
      </xdr:nvSpPr>
      <xdr:spPr>
        <a:xfrm>
          <a:off x="83820" y="408739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83820</xdr:colOff>
      <xdr:row>22</xdr:row>
      <xdr:rowOff>64477</xdr:rowOff>
    </xdr:from>
    <xdr:to>
      <xdr:col>0</xdr:col>
      <xdr:colOff>2011680</xdr:colOff>
      <xdr:row>24</xdr:row>
      <xdr:rowOff>5861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C4D8401-E4C5-49E7-BD8F-5EBA86A150AA}"/>
            </a:ext>
          </a:extLst>
        </xdr:cNvPr>
        <xdr:cNvSpPr/>
      </xdr:nvSpPr>
      <xdr:spPr>
        <a:xfrm>
          <a:off x="83820" y="446121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1</xdr:col>
      <xdr:colOff>0</xdr:colOff>
      <xdr:row>2</xdr:row>
      <xdr:rowOff>76200</xdr:rowOff>
    </xdr:from>
    <xdr:to>
      <xdr:col>1</xdr:col>
      <xdr:colOff>1929033</xdr:colOff>
      <xdr:row>4</xdr:row>
      <xdr:rowOff>15240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8AD045A-969A-46AD-8D10-509646BCB77B}"/>
            </a:ext>
          </a:extLst>
        </xdr:cNvPr>
        <xdr:cNvSpPr/>
      </xdr:nvSpPr>
      <xdr:spPr>
        <a:xfrm>
          <a:off x="2110740" y="63246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1668780</xdr:colOff>
      <xdr:row>2</xdr:row>
      <xdr:rowOff>53926</xdr:rowOff>
    </xdr:from>
    <xdr:to>
      <xdr:col>3</xdr:col>
      <xdr:colOff>305972</xdr:colOff>
      <xdr:row>3</xdr:row>
      <xdr:rowOff>174674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C1338-D8DC-46F6-BB9C-7C43A653F77E}"/>
            </a:ext>
          </a:extLst>
        </xdr:cNvPr>
        <xdr:cNvSpPr/>
      </xdr:nvSpPr>
      <xdr:spPr>
        <a:xfrm>
          <a:off x="3779520" y="61018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3</xdr:col>
      <xdr:colOff>336452</xdr:colOff>
      <xdr:row>2</xdr:row>
      <xdr:rowOff>53926</xdr:rowOff>
    </xdr:from>
    <xdr:to>
      <xdr:col>5</xdr:col>
      <xdr:colOff>9965</xdr:colOff>
      <xdr:row>3</xdr:row>
      <xdr:rowOff>174674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229385-107F-4758-B34B-465BF3AA3363}"/>
            </a:ext>
          </a:extLst>
        </xdr:cNvPr>
        <xdr:cNvSpPr/>
      </xdr:nvSpPr>
      <xdr:spPr>
        <a:xfrm>
          <a:off x="5739032" y="610186"/>
          <a:ext cx="1929033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83820</xdr:colOff>
      <xdr:row>7</xdr:row>
      <xdr:rowOff>0</xdr:rowOff>
    </xdr:from>
    <xdr:to>
      <xdr:col>0</xdr:col>
      <xdr:colOff>2011680</xdr:colOff>
      <xdr:row>8</xdr:row>
      <xdr:rowOff>123092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6115CF-0BCC-4CA9-827E-DB43FFEB0D73}"/>
            </a:ext>
          </a:extLst>
        </xdr:cNvPr>
        <xdr:cNvSpPr/>
      </xdr:nvSpPr>
      <xdr:spPr>
        <a:xfrm>
          <a:off x="83820" y="147066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83820</xdr:colOff>
      <xdr:row>9</xdr:row>
      <xdr:rowOff>8059</xdr:rowOff>
    </xdr:from>
    <xdr:to>
      <xdr:col>0</xdr:col>
      <xdr:colOff>2011680</xdr:colOff>
      <xdr:row>10</xdr:row>
      <xdr:rowOff>129882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74C2E-15A2-4FA6-A64C-D006C755D8B4}"/>
            </a:ext>
          </a:extLst>
        </xdr:cNvPr>
        <xdr:cNvSpPr/>
      </xdr:nvSpPr>
      <xdr:spPr>
        <a:xfrm>
          <a:off x="83820" y="184447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83820</xdr:colOff>
      <xdr:row>11</xdr:row>
      <xdr:rowOff>16119</xdr:rowOff>
    </xdr:from>
    <xdr:to>
      <xdr:col>0</xdr:col>
      <xdr:colOff>2011680</xdr:colOff>
      <xdr:row>12</xdr:row>
      <xdr:rowOff>137941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7106D9-4450-4F74-99B5-A312E78AB68C}"/>
            </a:ext>
          </a:extLst>
        </xdr:cNvPr>
        <xdr:cNvSpPr/>
      </xdr:nvSpPr>
      <xdr:spPr>
        <a:xfrm>
          <a:off x="83820" y="2218299"/>
          <a:ext cx="1927860" cy="304702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83820</xdr:colOff>
      <xdr:row>13</xdr:row>
      <xdr:rowOff>24179</xdr:rowOff>
    </xdr:from>
    <xdr:to>
      <xdr:col>0</xdr:col>
      <xdr:colOff>2011680</xdr:colOff>
      <xdr:row>14</xdr:row>
      <xdr:rowOff>146001</xdr:rowOff>
    </xdr:to>
    <xdr:sp macro="" textlink="">
      <xdr:nvSpPr>
        <xdr:cNvPr id="7" name="Retângul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4C7719-5E6C-44BB-A18E-40E28E4B89DC}"/>
            </a:ext>
          </a:extLst>
        </xdr:cNvPr>
        <xdr:cNvSpPr/>
      </xdr:nvSpPr>
      <xdr:spPr>
        <a:xfrm>
          <a:off x="83820" y="259211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83820</xdr:colOff>
      <xdr:row>15</xdr:row>
      <xdr:rowOff>32238</xdr:rowOff>
    </xdr:from>
    <xdr:to>
      <xdr:col>0</xdr:col>
      <xdr:colOff>2011680</xdr:colOff>
      <xdr:row>16</xdr:row>
      <xdr:rowOff>154061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9260C9-C9F5-465E-B0EB-A3371C9F078A}"/>
            </a:ext>
          </a:extLst>
        </xdr:cNvPr>
        <xdr:cNvSpPr/>
      </xdr:nvSpPr>
      <xdr:spPr>
        <a:xfrm>
          <a:off x="83820" y="296593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83820</xdr:colOff>
      <xdr:row>17</xdr:row>
      <xdr:rowOff>40298</xdr:rowOff>
    </xdr:from>
    <xdr:to>
      <xdr:col>0</xdr:col>
      <xdr:colOff>2011680</xdr:colOff>
      <xdr:row>18</xdr:row>
      <xdr:rowOff>162120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281B5D-846A-4952-857B-7F3C02EA486C}"/>
            </a:ext>
          </a:extLst>
        </xdr:cNvPr>
        <xdr:cNvSpPr/>
      </xdr:nvSpPr>
      <xdr:spPr>
        <a:xfrm>
          <a:off x="83820" y="333975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83820</xdr:colOff>
      <xdr:row>19</xdr:row>
      <xdr:rowOff>48357</xdr:rowOff>
    </xdr:from>
    <xdr:to>
      <xdr:col>0</xdr:col>
      <xdr:colOff>2011680</xdr:colOff>
      <xdr:row>20</xdr:row>
      <xdr:rowOff>170180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0B3A41-3009-44E9-869F-34B0EA6A16D2}"/>
            </a:ext>
          </a:extLst>
        </xdr:cNvPr>
        <xdr:cNvSpPr/>
      </xdr:nvSpPr>
      <xdr:spPr>
        <a:xfrm>
          <a:off x="83820" y="371357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83820</xdr:colOff>
      <xdr:row>21</xdr:row>
      <xdr:rowOff>56417</xdr:rowOff>
    </xdr:from>
    <xdr:to>
      <xdr:col>0</xdr:col>
      <xdr:colOff>2011680</xdr:colOff>
      <xdr:row>22</xdr:row>
      <xdr:rowOff>178239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41FA57B-6909-4CB7-9BF3-C179259550C1}"/>
            </a:ext>
          </a:extLst>
        </xdr:cNvPr>
        <xdr:cNvSpPr/>
      </xdr:nvSpPr>
      <xdr:spPr>
        <a:xfrm>
          <a:off x="83820" y="408739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83820</xdr:colOff>
      <xdr:row>23</xdr:row>
      <xdr:rowOff>64477</xdr:rowOff>
    </xdr:from>
    <xdr:to>
      <xdr:col>0</xdr:col>
      <xdr:colOff>2011680</xdr:colOff>
      <xdr:row>25</xdr:row>
      <xdr:rowOff>5861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554F00-ECEF-4090-A8D6-F98480742C21}"/>
            </a:ext>
          </a:extLst>
        </xdr:cNvPr>
        <xdr:cNvSpPr/>
      </xdr:nvSpPr>
      <xdr:spPr>
        <a:xfrm>
          <a:off x="83820" y="446121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0</xdr:col>
      <xdr:colOff>2103120</xdr:colOff>
      <xdr:row>2</xdr:row>
      <xdr:rowOff>53340</xdr:rowOff>
    </xdr:from>
    <xdr:to>
      <xdr:col>1</xdr:col>
      <xdr:colOff>1624233</xdr:colOff>
      <xdr:row>3</xdr:row>
      <xdr:rowOff>175260</xdr:rowOff>
    </xdr:to>
    <xdr:sp macro="" textlink="">
      <xdr:nvSpPr>
        <xdr:cNvPr id="22" name="Retângulo 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0A6002-ACFC-4B68-96CE-6BB3DDA44EF5}"/>
            </a:ext>
          </a:extLst>
        </xdr:cNvPr>
        <xdr:cNvSpPr/>
      </xdr:nvSpPr>
      <xdr:spPr>
        <a:xfrm>
          <a:off x="2103120" y="609600"/>
          <a:ext cx="163185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99060</xdr:colOff>
      <xdr:row>2</xdr:row>
      <xdr:rowOff>65356</xdr:rowOff>
    </xdr:from>
    <xdr:to>
      <xdr:col>4</xdr:col>
      <xdr:colOff>793652</xdr:colOff>
      <xdr:row>4</xdr:row>
      <xdr:rowOff>3224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9EF5B5-AFBE-42FA-9CFC-80807015B764}"/>
            </a:ext>
          </a:extLst>
        </xdr:cNvPr>
        <xdr:cNvSpPr/>
      </xdr:nvSpPr>
      <xdr:spPr>
        <a:xfrm>
          <a:off x="6050280" y="62161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4</xdr:col>
      <xdr:colOff>824132</xdr:colOff>
      <xdr:row>2</xdr:row>
      <xdr:rowOff>65356</xdr:rowOff>
    </xdr:from>
    <xdr:to>
      <xdr:col>6</xdr:col>
      <xdr:colOff>9965</xdr:colOff>
      <xdr:row>4</xdr:row>
      <xdr:rowOff>3224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0870E0-0BE0-4BA8-A449-B1E9318D1552}"/>
            </a:ext>
          </a:extLst>
        </xdr:cNvPr>
        <xdr:cNvSpPr/>
      </xdr:nvSpPr>
      <xdr:spPr>
        <a:xfrm>
          <a:off x="8009792" y="621616"/>
          <a:ext cx="1929033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83820</xdr:colOff>
      <xdr:row>6</xdr:row>
      <xdr:rowOff>0</xdr:rowOff>
    </xdr:from>
    <xdr:to>
      <xdr:col>0</xdr:col>
      <xdr:colOff>2011680</xdr:colOff>
      <xdr:row>7</xdr:row>
      <xdr:rowOff>123092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97FF1E-426A-4DD1-B378-0A1A68F282D7}"/>
            </a:ext>
          </a:extLst>
        </xdr:cNvPr>
        <xdr:cNvSpPr/>
      </xdr:nvSpPr>
      <xdr:spPr>
        <a:xfrm>
          <a:off x="83820" y="147066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83820</xdr:colOff>
      <xdr:row>8</xdr:row>
      <xdr:rowOff>8059</xdr:rowOff>
    </xdr:from>
    <xdr:to>
      <xdr:col>0</xdr:col>
      <xdr:colOff>2011680</xdr:colOff>
      <xdr:row>9</xdr:row>
      <xdr:rowOff>129882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0EE3A2-B548-475C-8141-25FFC28F5DAE}"/>
            </a:ext>
          </a:extLst>
        </xdr:cNvPr>
        <xdr:cNvSpPr/>
      </xdr:nvSpPr>
      <xdr:spPr>
        <a:xfrm>
          <a:off x="83820" y="184447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83820</xdr:colOff>
      <xdr:row>10</xdr:row>
      <xdr:rowOff>16119</xdr:rowOff>
    </xdr:from>
    <xdr:to>
      <xdr:col>0</xdr:col>
      <xdr:colOff>2011680</xdr:colOff>
      <xdr:row>11</xdr:row>
      <xdr:rowOff>137941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1604F8-6B65-415D-A3B1-8CB5E2A8B509}"/>
            </a:ext>
          </a:extLst>
        </xdr:cNvPr>
        <xdr:cNvSpPr/>
      </xdr:nvSpPr>
      <xdr:spPr>
        <a:xfrm>
          <a:off x="83820" y="221829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83820</xdr:colOff>
      <xdr:row>12</xdr:row>
      <xdr:rowOff>24179</xdr:rowOff>
    </xdr:from>
    <xdr:to>
      <xdr:col>0</xdr:col>
      <xdr:colOff>2011680</xdr:colOff>
      <xdr:row>13</xdr:row>
      <xdr:rowOff>146001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B72FFA-006B-484D-839A-376D421C271A}"/>
            </a:ext>
          </a:extLst>
        </xdr:cNvPr>
        <xdr:cNvSpPr/>
      </xdr:nvSpPr>
      <xdr:spPr>
        <a:xfrm>
          <a:off x="83820" y="2592119"/>
          <a:ext cx="1927860" cy="304702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83820</xdr:colOff>
      <xdr:row>14</xdr:row>
      <xdr:rowOff>32238</xdr:rowOff>
    </xdr:from>
    <xdr:to>
      <xdr:col>0</xdr:col>
      <xdr:colOff>2011680</xdr:colOff>
      <xdr:row>15</xdr:row>
      <xdr:rowOff>154061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DDF0FA-67B7-4110-B676-052A7DF5417F}"/>
            </a:ext>
          </a:extLst>
        </xdr:cNvPr>
        <xdr:cNvSpPr/>
      </xdr:nvSpPr>
      <xdr:spPr>
        <a:xfrm>
          <a:off x="83820" y="296593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83820</xdr:colOff>
      <xdr:row>16</xdr:row>
      <xdr:rowOff>40298</xdr:rowOff>
    </xdr:from>
    <xdr:to>
      <xdr:col>0</xdr:col>
      <xdr:colOff>2011680</xdr:colOff>
      <xdr:row>17</xdr:row>
      <xdr:rowOff>162120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B880B21-15C3-4B99-8241-6F1E1F39F187}"/>
            </a:ext>
          </a:extLst>
        </xdr:cNvPr>
        <xdr:cNvSpPr/>
      </xdr:nvSpPr>
      <xdr:spPr>
        <a:xfrm>
          <a:off x="83820" y="333975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83820</xdr:colOff>
      <xdr:row>18</xdr:row>
      <xdr:rowOff>48357</xdr:rowOff>
    </xdr:from>
    <xdr:to>
      <xdr:col>0</xdr:col>
      <xdr:colOff>2011680</xdr:colOff>
      <xdr:row>19</xdr:row>
      <xdr:rowOff>170180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EF7729-AE6E-426F-BC4C-BD1148989074}"/>
            </a:ext>
          </a:extLst>
        </xdr:cNvPr>
        <xdr:cNvSpPr/>
      </xdr:nvSpPr>
      <xdr:spPr>
        <a:xfrm>
          <a:off x="83820" y="371357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83820</xdr:colOff>
      <xdr:row>20</xdr:row>
      <xdr:rowOff>56417</xdr:rowOff>
    </xdr:from>
    <xdr:to>
      <xdr:col>0</xdr:col>
      <xdr:colOff>2011680</xdr:colOff>
      <xdr:row>21</xdr:row>
      <xdr:rowOff>178239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1594F51-9DFB-44CC-BC77-086EB29DC2DE}"/>
            </a:ext>
          </a:extLst>
        </xdr:cNvPr>
        <xdr:cNvSpPr/>
      </xdr:nvSpPr>
      <xdr:spPr>
        <a:xfrm>
          <a:off x="83820" y="408739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83820</xdr:colOff>
      <xdr:row>22</xdr:row>
      <xdr:rowOff>64477</xdr:rowOff>
    </xdr:from>
    <xdr:to>
      <xdr:col>0</xdr:col>
      <xdr:colOff>2011680</xdr:colOff>
      <xdr:row>24</xdr:row>
      <xdr:rowOff>5861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5C66B4-F6A1-4358-ADE4-1003D8933672}"/>
            </a:ext>
          </a:extLst>
        </xdr:cNvPr>
        <xdr:cNvSpPr/>
      </xdr:nvSpPr>
      <xdr:spPr>
        <a:xfrm>
          <a:off x="83820" y="446121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0</xdr:col>
      <xdr:colOff>2103120</xdr:colOff>
      <xdr:row>2</xdr:row>
      <xdr:rowOff>64770</xdr:rowOff>
    </xdr:from>
    <xdr:to>
      <xdr:col>2</xdr:col>
      <xdr:colOff>275493</xdr:colOff>
      <xdr:row>4</xdr:row>
      <xdr:rowOff>3810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73117B3-B930-4106-872E-F26D65D986ED}"/>
            </a:ext>
          </a:extLst>
        </xdr:cNvPr>
        <xdr:cNvSpPr/>
      </xdr:nvSpPr>
      <xdr:spPr>
        <a:xfrm>
          <a:off x="2103120" y="62103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1661160</xdr:colOff>
      <xdr:row>2</xdr:row>
      <xdr:rowOff>69166</xdr:rowOff>
    </xdr:from>
    <xdr:to>
      <xdr:col>4</xdr:col>
      <xdr:colOff>24032</xdr:colOff>
      <xdr:row>4</xdr:row>
      <xdr:rowOff>7034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380F8-56FC-4CEE-BFAF-FBD3AC4EA359}"/>
            </a:ext>
          </a:extLst>
        </xdr:cNvPr>
        <xdr:cNvSpPr/>
      </xdr:nvSpPr>
      <xdr:spPr>
        <a:xfrm>
          <a:off x="5554980" y="62542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4</xdr:col>
      <xdr:colOff>54512</xdr:colOff>
      <xdr:row>2</xdr:row>
      <xdr:rowOff>69166</xdr:rowOff>
    </xdr:from>
    <xdr:to>
      <xdr:col>6</xdr:col>
      <xdr:colOff>2345</xdr:colOff>
      <xdr:row>4</xdr:row>
      <xdr:rowOff>7034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91F13D-64A5-4C4B-81C9-24C29CCEF0DC}"/>
            </a:ext>
          </a:extLst>
        </xdr:cNvPr>
        <xdr:cNvSpPr/>
      </xdr:nvSpPr>
      <xdr:spPr>
        <a:xfrm>
          <a:off x="7514492" y="625426"/>
          <a:ext cx="1929033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76200</xdr:colOff>
      <xdr:row>6</xdr:row>
      <xdr:rowOff>0</xdr:rowOff>
    </xdr:from>
    <xdr:to>
      <xdr:col>0</xdr:col>
      <xdr:colOff>2004060</xdr:colOff>
      <xdr:row>7</xdr:row>
      <xdr:rowOff>123092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C59907-97D5-4D27-86B4-0ACC84959DA9}"/>
            </a:ext>
          </a:extLst>
        </xdr:cNvPr>
        <xdr:cNvSpPr/>
      </xdr:nvSpPr>
      <xdr:spPr>
        <a:xfrm>
          <a:off x="76200" y="147066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76200</xdr:colOff>
      <xdr:row>8</xdr:row>
      <xdr:rowOff>8059</xdr:rowOff>
    </xdr:from>
    <xdr:to>
      <xdr:col>0</xdr:col>
      <xdr:colOff>2004060</xdr:colOff>
      <xdr:row>9</xdr:row>
      <xdr:rowOff>129882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A79EA0-706E-478F-B8C9-241B39E9EFE4}"/>
            </a:ext>
          </a:extLst>
        </xdr:cNvPr>
        <xdr:cNvSpPr/>
      </xdr:nvSpPr>
      <xdr:spPr>
        <a:xfrm>
          <a:off x="76200" y="184447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76200</xdr:colOff>
      <xdr:row>10</xdr:row>
      <xdr:rowOff>16119</xdr:rowOff>
    </xdr:from>
    <xdr:to>
      <xdr:col>0</xdr:col>
      <xdr:colOff>2004060</xdr:colOff>
      <xdr:row>11</xdr:row>
      <xdr:rowOff>137941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F09AAC-0A9A-4690-8E2B-CBC7A1AEB1E7}"/>
            </a:ext>
          </a:extLst>
        </xdr:cNvPr>
        <xdr:cNvSpPr/>
      </xdr:nvSpPr>
      <xdr:spPr>
        <a:xfrm>
          <a:off x="76200" y="221829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76200</xdr:colOff>
      <xdr:row>12</xdr:row>
      <xdr:rowOff>24179</xdr:rowOff>
    </xdr:from>
    <xdr:to>
      <xdr:col>0</xdr:col>
      <xdr:colOff>2004060</xdr:colOff>
      <xdr:row>13</xdr:row>
      <xdr:rowOff>146001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4F716F-67C5-4029-B46B-04CE2F727AF9}"/>
            </a:ext>
          </a:extLst>
        </xdr:cNvPr>
        <xdr:cNvSpPr/>
      </xdr:nvSpPr>
      <xdr:spPr>
        <a:xfrm>
          <a:off x="76200" y="259211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76200</xdr:colOff>
      <xdr:row>14</xdr:row>
      <xdr:rowOff>32238</xdr:rowOff>
    </xdr:from>
    <xdr:to>
      <xdr:col>0</xdr:col>
      <xdr:colOff>2004060</xdr:colOff>
      <xdr:row>15</xdr:row>
      <xdr:rowOff>154061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A9230D4-84EA-4FED-845D-CA46ED1AF15F}"/>
            </a:ext>
          </a:extLst>
        </xdr:cNvPr>
        <xdr:cNvSpPr/>
      </xdr:nvSpPr>
      <xdr:spPr>
        <a:xfrm>
          <a:off x="76200" y="2965938"/>
          <a:ext cx="1927860" cy="304703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76200</xdr:colOff>
      <xdr:row>16</xdr:row>
      <xdr:rowOff>40298</xdr:rowOff>
    </xdr:from>
    <xdr:to>
      <xdr:col>0</xdr:col>
      <xdr:colOff>2004060</xdr:colOff>
      <xdr:row>17</xdr:row>
      <xdr:rowOff>162120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C56047-90A2-4BDA-8C12-810F4A527CE1}"/>
            </a:ext>
          </a:extLst>
        </xdr:cNvPr>
        <xdr:cNvSpPr/>
      </xdr:nvSpPr>
      <xdr:spPr>
        <a:xfrm>
          <a:off x="76200" y="333975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76200</xdr:colOff>
      <xdr:row>18</xdr:row>
      <xdr:rowOff>48357</xdr:rowOff>
    </xdr:from>
    <xdr:to>
      <xdr:col>0</xdr:col>
      <xdr:colOff>2004060</xdr:colOff>
      <xdr:row>19</xdr:row>
      <xdr:rowOff>170180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449AED-ED26-4518-8883-7404BB55A2A7}"/>
            </a:ext>
          </a:extLst>
        </xdr:cNvPr>
        <xdr:cNvSpPr/>
      </xdr:nvSpPr>
      <xdr:spPr>
        <a:xfrm>
          <a:off x="76200" y="371357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76200</xdr:colOff>
      <xdr:row>20</xdr:row>
      <xdr:rowOff>56417</xdr:rowOff>
    </xdr:from>
    <xdr:to>
      <xdr:col>0</xdr:col>
      <xdr:colOff>2004060</xdr:colOff>
      <xdr:row>21</xdr:row>
      <xdr:rowOff>178239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9B05918-57B2-41AD-9431-F4C78733EA48}"/>
            </a:ext>
          </a:extLst>
        </xdr:cNvPr>
        <xdr:cNvSpPr/>
      </xdr:nvSpPr>
      <xdr:spPr>
        <a:xfrm>
          <a:off x="76200" y="408739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76200</xdr:colOff>
      <xdr:row>22</xdr:row>
      <xdr:rowOff>64477</xdr:rowOff>
    </xdr:from>
    <xdr:to>
      <xdr:col>0</xdr:col>
      <xdr:colOff>2004060</xdr:colOff>
      <xdr:row>24</xdr:row>
      <xdr:rowOff>5861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C83025A-3393-4E14-84CA-92CD13221A7E}"/>
            </a:ext>
          </a:extLst>
        </xdr:cNvPr>
        <xdr:cNvSpPr/>
      </xdr:nvSpPr>
      <xdr:spPr>
        <a:xfrm>
          <a:off x="76200" y="446121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1</xdr:col>
      <xdr:colOff>0</xdr:colOff>
      <xdr:row>2</xdr:row>
      <xdr:rowOff>68580</xdr:rowOff>
    </xdr:from>
    <xdr:to>
      <xdr:col>2</xdr:col>
      <xdr:colOff>145953</xdr:colOff>
      <xdr:row>4</xdr:row>
      <xdr:rowOff>7620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AAA2D2E-68E6-42EF-9741-006F58AC1DDA}"/>
            </a:ext>
          </a:extLst>
        </xdr:cNvPr>
        <xdr:cNvSpPr/>
      </xdr:nvSpPr>
      <xdr:spPr>
        <a:xfrm>
          <a:off x="2110740" y="62484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1524000</xdr:colOff>
      <xdr:row>2</xdr:row>
      <xdr:rowOff>76786</xdr:rowOff>
    </xdr:from>
    <xdr:to>
      <xdr:col>4</xdr:col>
      <xdr:colOff>24032</xdr:colOff>
      <xdr:row>4</xdr:row>
      <xdr:rowOff>14654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7DBB91-76B3-474F-8FE4-F22CEABFFAE0}"/>
            </a:ext>
          </a:extLst>
        </xdr:cNvPr>
        <xdr:cNvSpPr/>
      </xdr:nvSpPr>
      <xdr:spPr>
        <a:xfrm>
          <a:off x="5280660" y="63304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4</xdr:col>
      <xdr:colOff>54512</xdr:colOff>
      <xdr:row>2</xdr:row>
      <xdr:rowOff>76786</xdr:rowOff>
    </xdr:from>
    <xdr:to>
      <xdr:col>6</xdr:col>
      <xdr:colOff>2345</xdr:colOff>
      <xdr:row>4</xdr:row>
      <xdr:rowOff>14654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456AFC-B167-48DE-A009-BFAC99026C22}"/>
            </a:ext>
          </a:extLst>
        </xdr:cNvPr>
        <xdr:cNvSpPr/>
      </xdr:nvSpPr>
      <xdr:spPr>
        <a:xfrm>
          <a:off x="7240172" y="633046"/>
          <a:ext cx="1929033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83820</xdr:colOff>
      <xdr:row>7</xdr:row>
      <xdr:rowOff>7620</xdr:rowOff>
    </xdr:from>
    <xdr:to>
      <xdr:col>0</xdr:col>
      <xdr:colOff>2011680</xdr:colOff>
      <xdr:row>8</xdr:row>
      <xdr:rowOff>130712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2B2ED9-A378-4541-8904-6D0DE3DEF73B}"/>
            </a:ext>
          </a:extLst>
        </xdr:cNvPr>
        <xdr:cNvSpPr/>
      </xdr:nvSpPr>
      <xdr:spPr>
        <a:xfrm>
          <a:off x="83820" y="147828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83820</xdr:colOff>
      <xdr:row>9</xdr:row>
      <xdr:rowOff>15679</xdr:rowOff>
    </xdr:from>
    <xdr:to>
      <xdr:col>0</xdr:col>
      <xdr:colOff>2011680</xdr:colOff>
      <xdr:row>10</xdr:row>
      <xdr:rowOff>137502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63DEA4-9D7D-40C5-9BCE-17193F053687}"/>
            </a:ext>
          </a:extLst>
        </xdr:cNvPr>
        <xdr:cNvSpPr/>
      </xdr:nvSpPr>
      <xdr:spPr>
        <a:xfrm>
          <a:off x="83820" y="185209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83820</xdr:colOff>
      <xdr:row>11</xdr:row>
      <xdr:rowOff>23739</xdr:rowOff>
    </xdr:from>
    <xdr:to>
      <xdr:col>0</xdr:col>
      <xdr:colOff>2011680</xdr:colOff>
      <xdr:row>12</xdr:row>
      <xdr:rowOff>145561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708D29-B885-4CDE-BA1A-262EEE449C66}"/>
            </a:ext>
          </a:extLst>
        </xdr:cNvPr>
        <xdr:cNvSpPr/>
      </xdr:nvSpPr>
      <xdr:spPr>
        <a:xfrm>
          <a:off x="83820" y="222591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83820</xdr:colOff>
      <xdr:row>13</xdr:row>
      <xdr:rowOff>31799</xdr:rowOff>
    </xdr:from>
    <xdr:to>
      <xdr:col>0</xdr:col>
      <xdr:colOff>2011680</xdr:colOff>
      <xdr:row>14</xdr:row>
      <xdr:rowOff>153621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D666F2-9F05-44A7-BB2C-414236788D86}"/>
            </a:ext>
          </a:extLst>
        </xdr:cNvPr>
        <xdr:cNvSpPr/>
      </xdr:nvSpPr>
      <xdr:spPr>
        <a:xfrm>
          <a:off x="83820" y="259973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83820</xdr:colOff>
      <xdr:row>15</xdr:row>
      <xdr:rowOff>39858</xdr:rowOff>
    </xdr:from>
    <xdr:to>
      <xdr:col>0</xdr:col>
      <xdr:colOff>2011680</xdr:colOff>
      <xdr:row>16</xdr:row>
      <xdr:rowOff>161681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3C0F3-A501-4FDE-A9BE-F2C8C1964577}"/>
            </a:ext>
          </a:extLst>
        </xdr:cNvPr>
        <xdr:cNvSpPr/>
      </xdr:nvSpPr>
      <xdr:spPr>
        <a:xfrm>
          <a:off x="83820" y="297355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83820</xdr:colOff>
      <xdr:row>17</xdr:row>
      <xdr:rowOff>47918</xdr:rowOff>
    </xdr:from>
    <xdr:to>
      <xdr:col>0</xdr:col>
      <xdr:colOff>2011680</xdr:colOff>
      <xdr:row>18</xdr:row>
      <xdr:rowOff>169740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A35F3E1-2FA0-4DF9-AE49-315150B266A8}"/>
            </a:ext>
          </a:extLst>
        </xdr:cNvPr>
        <xdr:cNvSpPr/>
      </xdr:nvSpPr>
      <xdr:spPr>
        <a:xfrm>
          <a:off x="83820" y="3347378"/>
          <a:ext cx="1927860" cy="304702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83820</xdr:colOff>
      <xdr:row>19</xdr:row>
      <xdr:rowOff>55977</xdr:rowOff>
    </xdr:from>
    <xdr:to>
      <xdr:col>0</xdr:col>
      <xdr:colOff>2011680</xdr:colOff>
      <xdr:row>20</xdr:row>
      <xdr:rowOff>177800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4C310B-22DF-4EC5-AD54-F30C25815D38}"/>
            </a:ext>
          </a:extLst>
        </xdr:cNvPr>
        <xdr:cNvSpPr/>
      </xdr:nvSpPr>
      <xdr:spPr>
        <a:xfrm>
          <a:off x="83820" y="372119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83820</xdr:colOff>
      <xdr:row>21</xdr:row>
      <xdr:rowOff>64037</xdr:rowOff>
    </xdr:from>
    <xdr:to>
      <xdr:col>0</xdr:col>
      <xdr:colOff>2011680</xdr:colOff>
      <xdr:row>23</xdr:row>
      <xdr:rowOff>2979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BCDFCE0-A9EA-4148-9B97-421A33F6196A}"/>
            </a:ext>
          </a:extLst>
        </xdr:cNvPr>
        <xdr:cNvSpPr/>
      </xdr:nvSpPr>
      <xdr:spPr>
        <a:xfrm>
          <a:off x="83820" y="409501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83820</xdr:colOff>
      <xdr:row>23</xdr:row>
      <xdr:rowOff>72097</xdr:rowOff>
    </xdr:from>
    <xdr:to>
      <xdr:col>0</xdr:col>
      <xdr:colOff>2011680</xdr:colOff>
      <xdr:row>25</xdr:row>
      <xdr:rowOff>13481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053E71F-D795-433A-BE13-7FB99B9E03AE}"/>
            </a:ext>
          </a:extLst>
        </xdr:cNvPr>
        <xdr:cNvSpPr/>
      </xdr:nvSpPr>
      <xdr:spPr>
        <a:xfrm>
          <a:off x="83820" y="446883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1</xdr:col>
      <xdr:colOff>0</xdr:colOff>
      <xdr:row>2</xdr:row>
      <xdr:rowOff>76200</xdr:rowOff>
    </xdr:from>
    <xdr:to>
      <xdr:col>2</xdr:col>
      <xdr:colOff>283113</xdr:colOff>
      <xdr:row>4</xdr:row>
      <xdr:rowOff>15240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028212B-11FE-4344-BC7E-EBCFE20CD54E}"/>
            </a:ext>
          </a:extLst>
        </xdr:cNvPr>
        <xdr:cNvSpPr/>
      </xdr:nvSpPr>
      <xdr:spPr>
        <a:xfrm>
          <a:off x="2110740" y="63246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434340</xdr:colOff>
      <xdr:row>2</xdr:row>
      <xdr:rowOff>61546</xdr:rowOff>
    </xdr:from>
    <xdr:to>
      <xdr:col>3</xdr:col>
      <xdr:colOff>1128932</xdr:colOff>
      <xdr:row>3</xdr:row>
      <xdr:rowOff>182294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A8F07F-2C25-4096-94E2-6A83BA42112C}"/>
            </a:ext>
          </a:extLst>
        </xdr:cNvPr>
        <xdr:cNvSpPr/>
      </xdr:nvSpPr>
      <xdr:spPr>
        <a:xfrm>
          <a:off x="3642360" y="61780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3</xdr:col>
      <xdr:colOff>1159412</xdr:colOff>
      <xdr:row>2</xdr:row>
      <xdr:rowOff>61546</xdr:rowOff>
    </xdr:from>
    <xdr:to>
      <xdr:col>6</xdr:col>
      <xdr:colOff>9965</xdr:colOff>
      <xdr:row>3</xdr:row>
      <xdr:rowOff>182294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9DC71C-9A76-4590-9169-C4F26C6829E3}"/>
            </a:ext>
          </a:extLst>
        </xdr:cNvPr>
        <xdr:cNvSpPr/>
      </xdr:nvSpPr>
      <xdr:spPr>
        <a:xfrm>
          <a:off x="5601872" y="617806"/>
          <a:ext cx="1929033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83820</xdr:colOff>
      <xdr:row>7</xdr:row>
      <xdr:rowOff>7620</xdr:rowOff>
    </xdr:from>
    <xdr:to>
      <xdr:col>0</xdr:col>
      <xdr:colOff>2011680</xdr:colOff>
      <xdr:row>8</xdr:row>
      <xdr:rowOff>130712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07F616-F08D-41EA-BA97-68DCCFDF5C2D}"/>
            </a:ext>
          </a:extLst>
        </xdr:cNvPr>
        <xdr:cNvSpPr/>
      </xdr:nvSpPr>
      <xdr:spPr>
        <a:xfrm>
          <a:off x="83820" y="147828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83820</xdr:colOff>
      <xdr:row>9</xdr:row>
      <xdr:rowOff>15679</xdr:rowOff>
    </xdr:from>
    <xdr:to>
      <xdr:col>0</xdr:col>
      <xdr:colOff>2011680</xdr:colOff>
      <xdr:row>10</xdr:row>
      <xdr:rowOff>137502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9BF424-A247-4313-B6DC-5B2FA353E7F3}"/>
            </a:ext>
          </a:extLst>
        </xdr:cNvPr>
        <xdr:cNvSpPr/>
      </xdr:nvSpPr>
      <xdr:spPr>
        <a:xfrm>
          <a:off x="83820" y="185209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83820</xdr:colOff>
      <xdr:row>11</xdr:row>
      <xdr:rowOff>23739</xdr:rowOff>
    </xdr:from>
    <xdr:to>
      <xdr:col>0</xdr:col>
      <xdr:colOff>2011680</xdr:colOff>
      <xdr:row>12</xdr:row>
      <xdr:rowOff>145561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A8136D-96FB-4CE0-86A2-FC463A5FE805}"/>
            </a:ext>
          </a:extLst>
        </xdr:cNvPr>
        <xdr:cNvSpPr/>
      </xdr:nvSpPr>
      <xdr:spPr>
        <a:xfrm>
          <a:off x="83820" y="222591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83820</xdr:colOff>
      <xdr:row>13</xdr:row>
      <xdr:rowOff>31799</xdr:rowOff>
    </xdr:from>
    <xdr:to>
      <xdr:col>0</xdr:col>
      <xdr:colOff>2011680</xdr:colOff>
      <xdr:row>14</xdr:row>
      <xdr:rowOff>153621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DC98B0-3967-44E3-B892-D98CF725EFB0}"/>
            </a:ext>
          </a:extLst>
        </xdr:cNvPr>
        <xdr:cNvSpPr/>
      </xdr:nvSpPr>
      <xdr:spPr>
        <a:xfrm>
          <a:off x="83820" y="259973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83820</xdr:colOff>
      <xdr:row>15</xdr:row>
      <xdr:rowOff>39858</xdr:rowOff>
    </xdr:from>
    <xdr:to>
      <xdr:col>0</xdr:col>
      <xdr:colOff>2011680</xdr:colOff>
      <xdr:row>16</xdr:row>
      <xdr:rowOff>161681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940BAB-8FB4-42A6-A6CF-9EAAD1DA3042}"/>
            </a:ext>
          </a:extLst>
        </xdr:cNvPr>
        <xdr:cNvSpPr/>
      </xdr:nvSpPr>
      <xdr:spPr>
        <a:xfrm>
          <a:off x="83820" y="297355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83820</xdr:colOff>
      <xdr:row>17</xdr:row>
      <xdr:rowOff>47918</xdr:rowOff>
    </xdr:from>
    <xdr:to>
      <xdr:col>0</xdr:col>
      <xdr:colOff>2011680</xdr:colOff>
      <xdr:row>18</xdr:row>
      <xdr:rowOff>169740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CE3A24-9FDB-4956-8CCA-1C19B5731824}"/>
            </a:ext>
          </a:extLst>
        </xdr:cNvPr>
        <xdr:cNvSpPr/>
      </xdr:nvSpPr>
      <xdr:spPr>
        <a:xfrm>
          <a:off x="83820" y="334737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83820</xdr:colOff>
      <xdr:row>19</xdr:row>
      <xdr:rowOff>55977</xdr:rowOff>
    </xdr:from>
    <xdr:to>
      <xdr:col>0</xdr:col>
      <xdr:colOff>2011680</xdr:colOff>
      <xdr:row>20</xdr:row>
      <xdr:rowOff>177800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96BEBC6-CF76-4769-8888-17210FF6F576}"/>
            </a:ext>
          </a:extLst>
        </xdr:cNvPr>
        <xdr:cNvSpPr/>
      </xdr:nvSpPr>
      <xdr:spPr>
        <a:xfrm>
          <a:off x="83820" y="3721197"/>
          <a:ext cx="1927860" cy="304703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83820</xdr:colOff>
      <xdr:row>21</xdr:row>
      <xdr:rowOff>64037</xdr:rowOff>
    </xdr:from>
    <xdr:to>
      <xdr:col>0</xdr:col>
      <xdr:colOff>2011680</xdr:colOff>
      <xdr:row>23</xdr:row>
      <xdr:rowOff>2979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D4E2D1-2A32-43BE-A50D-6334CDE3F870}"/>
            </a:ext>
          </a:extLst>
        </xdr:cNvPr>
        <xdr:cNvSpPr/>
      </xdr:nvSpPr>
      <xdr:spPr>
        <a:xfrm>
          <a:off x="83820" y="409501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83820</xdr:colOff>
      <xdr:row>23</xdr:row>
      <xdr:rowOff>72097</xdr:rowOff>
    </xdr:from>
    <xdr:to>
      <xdr:col>0</xdr:col>
      <xdr:colOff>2011680</xdr:colOff>
      <xdr:row>25</xdr:row>
      <xdr:rowOff>13481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A115EA-7B72-4169-A94E-7FD568B4A518}"/>
            </a:ext>
          </a:extLst>
        </xdr:cNvPr>
        <xdr:cNvSpPr/>
      </xdr:nvSpPr>
      <xdr:spPr>
        <a:xfrm>
          <a:off x="83820" y="446883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1</xdr:col>
      <xdr:colOff>15240</xdr:colOff>
      <xdr:row>2</xdr:row>
      <xdr:rowOff>60960</xdr:rowOff>
    </xdr:from>
    <xdr:to>
      <xdr:col>2</xdr:col>
      <xdr:colOff>366934</xdr:colOff>
      <xdr:row>4</xdr:row>
      <xdr:rowOff>0</xdr:rowOff>
    </xdr:to>
    <xdr:sp macro="" textlink="">
      <xdr:nvSpPr>
        <xdr:cNvPr id="14" name="Retângul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81B358-F3AB-4625-997C-6C5D95611625}"/>
            </a:ext>
          </a:extLst>
        </xdr:cNvPr>
        <xdr:cNvSpPr/>
      </xdr:nvSpPr>
      <xdr:spPr>
        <a:xfrm>
          <a:off x="2125980" y="617220"/>
          <a:ext cx="1448974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701040</xdr:colOff>
      <xdr:row>2</xdr:row>
      <xdr:rowOff>84406</xdr:rowOff>
    </xdr:from>
    <xdr:to>
      <xdr:col>4</xdr:col>
      <xdr:colOff>709832</xdr:colOff>
      <xdr:row>4</xdr:row>
      <xdr:rowOff>22274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F780FF-DFAD-4427-9BE0-B0C50A27B0B2}"/>
            </a:ext>
          </a:extLst>
        </xdr:cNvPr>
        <xdr:cNvSpPr/>
      </xdr:nvSpPr>
      <xdr:spPr>
        <a:xfrm>
          <a:off x="5829300" y="64066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4</xdr:col>
      <xdr:colOff>740312</xdr:colOff>
      <xdr:row>2</xdr:row>
      <xdr:rowOff>84406</xdr:rowOff>
    </xdr:from>
    <xdr:to>
      <xdr:col>6</xdr:col>
      <xdr:colOff>2345</xdr:colOff>
      <xdr:row>4</xdr:row>
      <xdr:rowOff>22274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99D5E6-D3B8-4174-85A4-65976EEA44D5}"/>
            </a:ext>
          </a:extLst>
        </xdr:cNvPr>
        <xdr:cNvSpPr/>
      </xdr:nvSpPr>
      <xdr:spPr>
        <a:xfrm>
          <a:off x="7788812" y="640666"/>
          <a:ext cx="1929033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PRÓXIMO</a:t>
          </a:r>
        </a:p>
      </xdr:txBody>
    </xdr:sp>
    <xdr:clientData/>
  </xdr:twoCellAnchor>
  <xdr:twoCellAnchor editAs="absolute">
    <xdr:from>
      <xdr:col>0</xdr:col>
      <xdr:colOff>76200</xdr:colOff>
      <xdr:row>7</xdr:row>
      <xdr:rowOff>22860</xdr:rowOff>
    </xdr:from>
    <xdr:to>
      <xdr:col>0</xdr:col>
      <xdr:colOff>2004060</xdr:colOff>
      <xdr:row>8</xdr:row>
      <xdr:rowOff>145952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2250AF-61C1-4CFA-9D9B-E814B85B9C0C}"/>
            </a:ext>
          </a:extLst>
        </xdr:cNvPr>
        <xdr:cNvSpPr/>
      </xdr:nvSpPr>
      <xdr:spPr>
        <a:xfrm>
          <a:off x="76200" y="149352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76200</xdr:colOff>
      <xdr:row>9</xdr:row>
      <xdr:rowOff>30919</xdr:rowOff>
    </xdr:from>
    <xdr:to>
      <xdr:col>0</xdr:col>
      <xdr:colOff>2004060</xdr:colOff>
      <xdr:row>10</xdr:row>
      <xdr:rowOff>152742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50D6C4-C280-4F9D-9B69-DA58C27A471A}"/>
            </a:ext>
          </a:extLst>
        </xdr:cNvPr>
        <xdr:cNvSpPr/>
      </xdr:nvSpPr>
      <xdr:spPr>
        <a:xfrm>
          <a:off x="76200" y="186733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76200</xdr:colOff>
      <xdr:row>11</xdr:row>
      <xdr:rowOff>38979</xdr:rowOff>
    </xdr:from>
    <xdr:to>
      <xdr:col>0</xdr:col>
      <xdr:colOff>2004060</xdr:colOff>
      <xdr:row>12</xdr:row>
      <xdr:rowOff>160801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543F6D-43A8-434F-AAC0-41719DE8F5BC}"/>
            </a:ext>
          </a:extLst>
        </xdr:cNvPr>
        <xdr:cNvSpPr/>
      </xdr:nvSpPr>
      <xdr:spPr>
        <a:xfrm>
          <a:off x="76200" y="224115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76200</xdr:colOff>
      <xdr:row>13</xdr:row>
      <xdr:rowOff>47039</xdr:rowOff>
    </xdr:from>
    <xdr:to>
      <xdr:col>0</xdr:col>
      <xdr:colOff>2004060</xdr:colOff>
      <xdr:row>14</xdr:row>
      <xdr:rowOff>168861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4F5059-DF4D-42A0-B66D-84B04699C3DA}"/>
            </a:ext>
          </a:extLst>
        </xdr:cNvPr>
        <xdr:cNvSpPr/>
      </xdr:nvSpPr>
      <xdr:spPr>
        <a:xfrm>
          <a:off x="76200" y="261497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76200</xdr:colOff>
      <xdr:row>15</xdr:row>
      <xdr:rowOff>55098</xdr:rowOff>
    </xdr:from>
    <xdr:to>
      <xdr:col>0</xdr:col>
      <xdr:colOff>2004060</xdr:colOff>
      <xdr:row>16</xdr:row>
      <xdr:rowOff>176921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16A8E4-9905-4B7B-BA91-5D35384C9EDF}"/>
            </a:ext>
          </a:extLst>
        </xdr:cNvPr>
        <xdr:cNvSpPr/>
      </xdr:nvSpPr>
      <xdr:spPr>
        <a:xfrm>
          <a:off x="76200" y="298879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76200</xdr:colOff>
      <xdr:row>17</xdr:row>
      <xdr:rowOff>63158</xdr:rowOff>
    </xdr:from>
    <xdr:to>
      <xdr:col>0</xdr:col>
      <xdr:colOff>2004060</xdr:colOff>
      <xdr:row>19</xdr:row>
      <xdr:rowOff>2100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8A6555-F31C-4EC8-8E4D-E2855F837231}"/>
            </a:ext>
          </a:extLst>
        </xdr:cNvPr>
        <xdr:cNvSpPr/>
      </xdr:nvSpPr>
      <xdr:spPr>
        <a:xfrm>
          <a:off x="76200" y="336261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76200</xdr:colOff>
      <xdr:row>19</xdr:row>
      <xdr:rowOff>71217</xdr:rowOff>
    </xdr:from>
    <xdr:to>
      <xdr:col>0</xdr:col>
      <xdr:colOff>2004060</xdr:colOff>
      <xdr:row>21</xdr:row>
      <xdr:rowOff>10160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716DF-4904-422C-AED8-038767E74499}"/>
            </a:ext>
          </a:extLst>
        </xdr:cNvPr>
        <xdr:cNvSpPr/>
      </xdr:nvSpPr>
      <xdr:spPr>
        <a:xfrm>
          <a:off x="76200" y="373643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76200</xdr:colOff>
      <xdr:row>21</xdr:row>
      <xdr:rowOff>79277</xdr:rowOff>
    </xdr:from>
    <xdr:to>
      <xdr:col>0</xdr:col>
      <xdr:colOff>2004060</xdr:colOff>
      <xdr:row>23</xdr:row>
      <xdr:rowOff>18219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C2468F-A6D7-43D1-A6FD-A7E9C9BCE959}"/>
            </a:ext>
          </a:extLst>
        </xdr:cNvPr>
        <xdr:cNvSpPr/>
      </xdr:nvSpPr>
      <xdr:spPr>
        <a:xfrm>
          <a:off x="76200" y="4110257"/>
          <a:ext cx="1927860" cy="304702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76200</xdr:colOff>
      <xdr:row>23</xdr:row>
      <xdr:rowOff>87337</xdr:rowOff>
    </xdr:from>
    <xdr:to>
      <xdr:col>0</xdr:col>
      <xdr:colOff>2004060</xdr:colOff>
      <xdr:row>25</xdr:row>
      <xdr:rowOff>28721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194EA9-9659-4E0D-B482-B8C992F78C91}"/>
            </a:ext>
          </a:extLst>
        </xdr:cNvPr>
        <xdr:cNvSpPr/>
      </xdr:nvSpPr>
      <xdr:spPr>
        <a:xfrm>
          <a:off x="76200" y="4484077"/>
          <a:ext cx="1927860" cy="307144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1</xdr:col>
      <xdr:colOff>0</xdr:colOff>
      <xdr:row>2</xdr:row>
      <xdr:rowOff>83820</xdr:rowOff>
    </xdr:from>
    <xdr:to>
      <xdr:col>1</xdr:col>
      <xdr:colOff>1929033</xdr:colOff>
      <xdr:row>4</xdr:row>
      <xdr:rowOff>22860</xdr:rowOff>
    </xdr:to>
    <xdr:sp macro="" textlink="">
      <xdr:nvSpPr>
        <xdr:cNvPr id="22" name="Retângulo 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EF17CD5-350E-48AF-904A-23D2EBC1FAE1}"/>
            </a:ext>
          </a:extLst>
        </xdr:cNvPr>
        <xdr:cNvSpPr/>
      </xdr:nvSpPr>
      <xdr:spPr>
        <a:xfrm>
          <a:off x="2110740" y="64008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21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absolute">
    <xdr:from>
      <xdr:col>4</xdr:col>
      <xdr:colOff>1645920</xdr:colOff>
      <xdr:row>2</xdr:row>
      <xdr:rowOff>38686</xdr:rowOff>
    </xdr:from>
    <xdr:to>
      <xdr:col>8</xdr:col>
      <xdr:colOff>8792</xdr:colOff>
      <xdr:row>3</xdr:row>
      <xdr:rowOff>159434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D74DDD-02DD-42C2-83B4-5637E16E3B6C}"/>
            </a:ext>
          </a:extLst>
        </xdr:cNvPr>
        <xdr:cNvSpPr/>
      </xdr:nvSpPr>
      <xdr:spPr>
        <a:xfrm>
          <a:off x="7117080" y="594946"/>
          <a:ext cx="1929032" cy="30362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ANTERIOR</a:t>
          </a:r>
        </a:p>
      </xdr:txBody>
    </xdr:sp>
    <xdr:clientData/>
  </xdr:twoCellAnchor>
  <xdr:twoCellAnchor editAs="absolute">
    <xdr:from>
      <xdr:col>0</xdr:col>
      <xdr:colOff>76200</xdr:colOff>
      <xdr:row>6</xdr:row>
      <xdr:rowOff>91440</xdr:rowOff>
    </xdr:from>
    <xdr:to>
      <xdr:col>0</xdr:col>
      <xdr:colOff>2004060</xdr:colOff>
      <xdr:row>8</xdr:row>
      <xdr:rowOff>31652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93FC25-DA1C-48D9-BC3C-BF1B6F22A404}"/>
            </a:ext>
          </a:extLst>
        </xdr:cNvPr>
        <xdr:cNvSpPr/>
      </xdr:nvSpPr>
      <xdr:spPr>
        <a:xfrm>
          <a:off x="76200" y="1493520"/>
          <a:ext cx="1927860" cy="30597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TITULAR</a:t>
          </a:r>
        </a:p>
      </xdr:txBody>
    </xdr:sp>
    <xdr:clientData/>
  </xdr:twoCellAnchor>
  <xdr:twoCellAnchor editAs="absolute">
    <xdr:from>
      <xdr:col>0</xdr:col>
      <xdr:colOff>76200</xdr:colOff>
      <xdr:row>8</xdr:row>
      <xdr:rowOff>99499</xdr:rowOff>
    </xdr:from>
    <xdr:to>
      <xdr:col>0</xdr:col>
      <xdr:colOff>2004060</xdr:colOff>
      <xdr:row>9</xdr:row>
      <xdr:rowOff>107022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E79F2C2-22A0-4A34-BF9A-2C1FDDA705D9}"/>
            </a:ext>
          </a:extLst>
        </xdr:cNvPr>
        <xdr:cNvSpPr/>
      </xdr:nvSpPr>
      <xdr:spPr>
        <a:xfrm>
          <a:off x="76200" y="1867339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DEPENDENTES</a:t>
          </a:r>
        </a:p>
      </xdr:txBody>
    </xdr:sp>
    <xdr:clientData/>
  </xdr:twoCellAnchor>
  <xdr:twoCellAnchor editAs="absolute">
    <xdr:from>
      <xdr:col>0</xdr:col>
      <xdr:colOff>76200</xdr:colOff>
      <xdr:row>9</xdr:row>
      <xdr:rowOff>176139</xdr:rowOff>
    </xdr:from>
    <xdr:to>
      <xdr:col>0</xdr:col>
      <xdr:colOff>2004060</xdr:colOff>
      <xdr:row>11</xdr:row>
      <xdr:rowOff>115081</xdr:rowOff>
    </xdr:to>
    <xdr:sp macro="" textlink="">
      <xdr:nvSpPr>
        <xdr:cNvPr id="16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DE799E-8043-4BE5-A08C-5E1E2AB328E1}"/>
            </a:ext>
          </a:extLst>
        </xdr:cNvPr>
        <xdr:cNvSpPr/>
      </xdr:nvSpPr>
      <xdr:spPr>
        <a:xfrm>
          <a:off x="76200" y="224115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INFORMES BANCÁRIOS</a:t>
          </a:r>
        </a:p>
      </xdr:txBody>
    </xdr:sp>
    <xdr:clientData/>
  </xdr:twoCellAnchor>
  <xdr:twoCellAnchor editAs="absolute">
    <xdr:from>
      <xdr:col>0</xdr:col>
      <xdr:colOff>76200</xdr:colOff>
      <xdr:row>11</xdr:row>
      <xdr:rowOff>184199</xdr:rowOff>
    </xdr:from>
    <xdr:to>
      <xdr:col>0</xdr:col>
      <xdr:colOff>2004060</xdr:colOff>
      <xdr:row>13</xdr:row>
      <xdr:rowOff>8841</xdr:rowOff>
    </xdr:to>
    <xdr:sp macro="" textlink="">
      <xdr:nvSpPr>
        <xdr:cNvPr id="17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D6CC12-9FBB-433F-8C39-6D8BFB169D62}"/>
            </a:ext>
          </a:extLst>
        </xdr:cNvPr>
        <xdr:cNvSpPr/>
      </xdr:nvSpPr>
      <xdr:spPr>
        <a:xfrm>
          <a:off x="76200" y="2614979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BENS E DIREITOS</a:t>
          </a:r>
        </a:p>
      </xdr:txBody>
    </xdr:sp>
    <xdr:clientData/>
  </xdr:twoCellAnchor>
  <xdr:twoCellAnchor editAs="absolute">
    <xdr:from>
      <xdr:col>0</xdr:col>
      <xdr:colOff>76200</xdr:colOff>
      <xdr:row>13</xdr:row>
      <xdr:rowOff>77958</xdr:rowOff>
    </xdr:from>
    <xdr:to>
      <xdr:col>0</xdr:col>
      <xdr:colOff>2004060</xdr:colOff>
      <xdr:row>14</xdr:row>
      <xdr:rowOff>199781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CFF9F0-6A15-4B39-8D24-7FC8E0813FBD}"/>
            </a:ext>
          </a:extLst>
        </xdr:cNvPr>
        <xdr:cNvSpPr/>
      </xdr:nvSpPr>
      <xdr:spPr>
        <a:xfrm>
          <a:off x="76200" y="2988798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DÍVIDAS E ÔNUS</a:t>
          </a:r>
        </a:p>
      </xdr:txBody>
    </xdr:sp>
    <xdr:clientData/>
  </xdr:twoCellAnchor>
  <xdr:twoCellAnchor editAs="absolute">
    <xdr:from>
      <xdr:col>0</xdr:col>
      <xdr:colOff>76200</xdr:colOff>
      <xdr:row>14</xdr:row>
      <xdr:rowOff>268898</xdr:rowOff>
    </xdr:from>
    <xdr:to>
      <xdr:col>0</xdr:col>
      <xdr:colOff>2004060</xdr:colOff>
      <xdr:row>16</xdr:row>
      <xdr:rowOff>93540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9C4D6F0-8E74-411E-844E-98CFB36F053D}"/>
            </a:ext>
          </a:extLst>
        </xdr:cNvPr>
        <xdr:cNvSpPr/>
      </xdr:nvSpPr>
      <xdr:spPr>
        <a:xfrm>
          <a:off x="76200" y="3362618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DESPESAS DEBUTÍVEIS</a:t>
          </a:r>
        </a:p>
      </xdr:txBody>
    </xdr:sp>
    <xdr:clientData/>
  </xdr:twoCellAnchor>
  <xdr:twoCellAnchor editAs="absolute">
    <xdr:from>
      <xdr:col>0</xdr:col>
      <xdr:colOff>76200</xdr:colOff>
      <xdr:row>16</xdr:row>
      <xdr:rowOff>162657</xdr:rowOff>
    </xdr:from>
    <xdr:to>
      <xdr:col>0</xdr:col>
      <xdr:colOff>2004060</xdr:colOff>
      <xdr:row>18</xdr:row>
      <xdr:rowOff>101600</xdr:rowOff>
    </xdr:to>
    <xdr:sp macro="" textlink="">
      <xdr:nvSpPr>
        <xdr:cNvPr id="20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EC525C4-4FF2-4BA4-A308-6B256C3301FB}"/>
            </a:ext>
          </a:extLst>
        </xdr:cNvPr>
        <xdr:cNvSpPr/>
      </xdr:nvSpPr>
      <xdr:spPr>
        <a:xfrm>
          <a:off x="76200" y="3736437"/>
          <a:ext cx="1927860" cy="304703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RENDIMENTOS</a:t>
          </a:r>
          <a:r>
            <a:rPr lang="en-US" sz="1100" b="1" baseline="0"/>
            <a:t> MENSAIS</a:t>
          </a:r>
          <a:endParaRPr lang="en-US" sz="1100" b="1"/>
        </a:p>
      </xdr:txBody>
    </xdr:sp>
    <xdr:clientData/>
  </xdr:twoCellAnchor>
  <xdr:twoCellAnchor editAs="absolute">
    <xdr:from>
      <xdr:col>0</xdr:col>
      <xdr:colOff>76200</xdr:colOff>
      <xdr:row>18</xdr:row>
      <xdr:rowOff>170717</xdr:rowOff>
    </xdr:from>
    <xdr:to>
      <xdr:col>0</xdr:col>
      <xdr:colOff>2004060</xdr:colOff>
      <xdr:row>19</xdr:row>
      <xdr:rowOff>178239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A431F6-ED3E-43A5-8A5D-167BA5A545EC}"/>
            </a:ext>
          </a:extLst>
        </xdr:cNvPr>
        <xdr:cNvSpPr/>
      </xdr:nvSpPr>
      <xdr:spPr>
        <a:xfrm>
          <a:off x="76200" y="4110257"/>
          <a:ext cx="1927860" cy="304702"/>
        </a:xfrm>
        <a:prstGeom prst="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CHECKLIST DE DOCUMENTOS</a:t>
          </a:r>
        </a:p>
      </xdr:txBody>
    </xdr:sp>
    <xdr:clientData/>
  </xdr:twoCellAnchor>
  <xdr:twoCellAnchor editAs="absolute">
    <xdr:from>
      <xdr:col>0</xdr:col>
      <xdr:colOff>76200</xdr:colOff>
      <xdr:row>20</xdr:row>
      <xdr:rowOff>64477</xdr:rowOff>
    </xdr:from>
    <xdr:to>
      <xdr:col>0</xdr:col>
      <xdr:colOff>2004060</xdr:colOff>
      <xdr:row>21</xdr:row>
      <xdr:rowOff>173501</xdr:rowOff>
    </xdr:to>
    <xdr:sp macro="" textlink="">
      <xdr:nvSpPr>
        <xdr:cNvPr id="22" name="Retângulo 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28ED96-1E36-45E1-A4F2-44AB72E92772}"/>
            </a:ext>
          </a:extLst>
        </xdr:cNvPr>
        <xdr:cNvSpPr/>
      </xdr:nvSpPr>
      <xdr:spPr>
        <a:xfrm>
          <a:off x="76200" y="4484077"/>
          <a:ext cx="1927860" cy="307144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RESUMO GERAL</a:t>
          </a:r>
        </a:p>
      </xdr:txBody>
    </xdr:sp>
    <xdr:clientData/>
  </xdr:twoCellAnchor>
  <xdr:twoCellAnchor editAs="absolute">
    <xdr:from>
      <xdr:col>1</xdr:col>
      <xdr:colOff>7620</xdr:colOff>
      <xdr:row>2</xdr:row>
      <xdr:rowOff>38100</xdr:rowOff>
    </xdr:from>
    <xdr:to>
      <xdr:col>2</xdr:col>
      <xdr:colOff>153573</xdr:colOff>
      <xdr:row>3</xdr:row>
      <xdr:rowOff>160020</xdr:rowOff>
    </xdr:to>
    <xdr:sp macro="" textlink="">
      <xdr:nvSpPr>
        <xdr:cNvPr id="23" name="Retângulo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994338-36A8-4F7B-A53B-CA82660A39B4}"/>
            </a:ext>
          </a:extLst>
        </xdr:cNvPr>
        <xdr:cNvSpPr/>
      </xdr:nvSpPr>
      <xdr:spPr>
        <a:xfrm>
          <a:off x="2118360" y="594360"/>
          <a:ext cx="1929033" cy="3048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MENU PRINCIPAL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ependentes" displayName="TabelaDependentes" ref="B6:E17" dataDxfId="30">
  <autoFilter ref="B6:E17" xr:uid="{00000000-0009-0000-0100-000001000000}"/>
  <tableColumns count="4">
    <tableColumn id="2" xr3:uid="{00000000-0010-0000-0000-000002000000}" name="NOME" dataDxfId="34"/>
    <tableColumn id="3" xr3:uid="{00000000-0010-0000-0000-000003000000}" name="CPF" dataDxfId="33"/>
    <tableColumn id="4" xr3:uid="{00000000-0010-0000-0000-000004000000}" name="PARENTESCO" dataDxfId="32"/>
    <tableColumn id="5" xr3:uid="{00000000-0010-0000-0000-000005000000}" name="DATA DE NASCIMENTO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Bancos" displayName="TabelaBancos" ref="B6:D27" dataDxfId="26">
  <autoFilter ref="B6:D27" xr:uid="{00000000-0009-0000-0100-000002000000}"/>
  <tableColumns count="3">
    <tableColumn id="2" xr3:uid="{00000000-0010-0000-0100-000002000000}" name="BANCO" dataDxfId="29"/>
    <tableColumn id="3" xr3:uid="{00000000-0010-0000-0100-000003000000}" name="SALDO ATUAL" dataDxfId="28"/>
    <tableColumn id="4" xr3:uid="{00000000-0010-0000-0100-000004000000}" name="ANEXO 📎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Bens" displayName="TabelaBens" ref="B6:F27" dataDxfId="20">
  <autoFilter ref="B6:F27" xr:uid="{00000000-0009-0000-0100-000003000000}"/>
  <tableColumns count="5">
    <tableColumn id="2" xr3:uid="{00000000-0010-0000-0200-000002000000}" name="TIPO DE BEM" dataDxfId="25"/>
    <tableColumn id="3" xr3:uid="{00000000-0010-0000-0200-000003000000}" name="DESCRIÇÃO" dataDxfId="24"/>
    <tableColumn id="4" xr3:uid="{00000000-0010-0000-0200-000004000000}" name="DATA DE AQUISIÇÃO" dataDxfId="23"/>
    <tableColumn id="5" xr3:uid="{00000000-0010-0000-0200-000005000000}" name="SITUAÇÃO ANO ANTERIOR" dataDxfId="22"/>
    <tableColumn id="6" xr3:uid="{00000000-0010-0000-0200-000006000000}" name="SITUAÇÃO ANO ATUAL" dataDxfId="2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Dividas" displayName="TabelaDividas" ref="B6:E23" dataDxfId="15">
  <autoFilter ref="B6:E23" xr:uid="{00000000-0009-0000-0100-000004000000}"/>
  <tableColumns count="4">
    <tableColumn id="2" xr3:uid="{00000000-0010-0000-0300-000002000000}" name="TIPO DE DÍVIDA" dataDxfId="19"/>
    <tableColumn id="3" xr3:uid="{00000000-0010-0000-0300-000003000000}" name="CREDOR" dataDxfId="18"/>
    <tableColumn id="4" xr3:uid="{00000000-0010-0000-0300-000004000000}" name="SITUAÇÃO ANO ANTERIOR" dataDxfId="17"/>
    <tableColumn id="5" xr3:uid="{00000000-0010-0000-0300-000005000000}" name="SITUAÇÃO ANO ATUAL" dataDxfId="1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Despesas" displayName="TabelaDespesas" ref="B6:E27" dataDxfId="10">
  <autoFilter ref="B6:E27" xr:uid="{00000000-0009-0000-0100-000005000000}"/>
  <tableColumns count="4">
    <tableColumn id="2" xr3:uid="{00000000-0010-0000-0400-000002000000}" name="CATEGORIA" dataDxfId="14"/>
    <tableColumn id="3" xr3:uid="{00000000-0010-0000-0400-000003000000}" name="DESCRIÇÃO / PRESTADOR" dataDxfId="13"/>
    <tableColumn id="4" xr3:uid="{00000000-0010-0000-0400-000004000000}" name="VALOR" dataDxfId="12"/>
    <tableColumn id="5" xr3:uid="{00000000-0010-0000-0400-000005000000}" name="ANEXO 📎" dataDxfId="1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Rendimentos" displayName="TabelaRendimentos" ref="B6:E47" dataDxfId="5">
  <autoFilter ref="B6:E47" xr:uid="{00000000-0009-0000-0100-000006000000}"/>
  <tableColumns count="4">
    <tableColumn id="2" xr3:uid="{00000000-0010-0000-0500-000002000000}" name="DATA" dataDxfId="9"/>
    <tableColumn id="3" xr3:uid="{00000000-0010-0000-0500-000003000000}" name="CATEGORIA" dataDxfId="8"/>
    <tableColumn id="4" xr3:uid="{00000000-0010-0000-0500-000004000000}" name="TIPO DE RENDIMENTO" dataDxfId="7"/>
    <tableColumn id="5" xr3:uid="{00000000-0010-0000-0500-000005000000}" name="VALOR" dataDxfId="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Checklist" displayName="TabelaChecklist" ref="B6:E18" dataDxfId="0">
  <autoFilter ref="B6:E18" xr:uid="{00000000-0009-0000-0100-000007000000}"/>
  <tableColumns count="4">
    <tableColumn id="2" xr3:uid="{00000000-0010-0000-0600-000002000000}" name="DOCUMENTO" dataDxfId="4"/>
    <tableColumn id="3" xr3:uid="{00000000-0010-0000-0600-000003000000}" name="NECESSÁRIO" dataDxfId="3"/>
    <tableColumn id="4" xr3:uid="{00000000-0010-0000-0600-000004000000}" name="ANEXADO" dataDxfId="2"/>
    <tableColumn id="5" xr3:uid="{00000000-0010-0000-0600-000005000000}" name="OBSERVAÇÃ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showRowColHeaders="0" tabSelected="1" workbookViewId="0">
      <selection activeCell="L22" sqref="L22"/>
    </sheetView>
  </sheetViews>
  <sheetFormatPr defaultRowHeight="14.4" x14ac:dyDescent="0.3"/>
  <cols>
    <col min="1" max="1" width="3" style="21" customWidth="1"/>
    <col min="2" max="2" width="26" style="21" customWidth="1"/>
    <col min="3" max="3" width="3" customWidth="1"/>
    <col min="4" max="4" width="40" customWidth="1"/>
    <col min="5" max="6" width="3" customWidth="1"/>
  </cols>
  <sheetData>
    <row r="1" spans="2:6" ht="25.95" customHeight="1" x14ac:dyDescent="0.3">
      <c r="B1" s="14" t="s">
        <v>0</v>
      </c>
      <c r="C1" s="13"/>
      <c r="D1" s="13"/>
      <c r="E1" s="13"/>
      <c r="F1" s="13"/>
    </row>
    <row r="2" spans="2:6" ht="18" customHeight="1" x14ac:dyDescent="0.3">
      <c r="B2" s="12" t="s">
        <v>1</v>
      </c>
      <c r="C2" s="13"/>
      <c r="D2" s="13"/>
      <c r="E2" s="13"/>
      <c r="F2" s="13"/>
    </row>
    <row r="4" spans="2:6" x14ac:dyDescent="0.3">
      <c r="B4" s="22" t="s">
        <v>2</v>
      </c>
    </row>
    <row r="5" spans="2:6" x14ac:dyDescent="0.3">
      <c r="B5" s="22" t="s">
        <v>3</v>
      </c>
    </row>
    <row r="8" spans="2:6" ht="15.6" x14ac:dyDescent="0.3">
      <c r="B8" s="23"/>
      <c r="D8" s="1" t="s">
        <v>4</v>
      </c>
    </row>
    <row r="10" spans="2:6" ht="15.6" x14ac:dyDescent="0.3">
      <c r="B10" s="23"/>
      <c r="D10" s="1" t="s">
        <v>6</v>
      </c>
    </row>
    <row r="12" spans="2:6" ht="15.6" x14ac:dyDescent="0.3">
      <c r="B12" s="23"/>
      <c r="D12" s="1" t="s">
        <v>7</v>
      </c>
    </row>
    <row r="14" spans="2:6" ht="15.6" x14ac:dyDescent="0.3">
      <c r="B14" s="23"/>
      <c r="D14" s="1" t="s">
        <v>9</v>
      </c>
    </row>
    <row r="16" spans="2:6" ht="15.6" x14ac:dyDescent="0.3">
      <c r="B16" s="23"/>
      <c r="D16" s="1" t="s">
        <v>11</v>
      </c>
    </row>
    <row r="18" spans="2:4" ht="15.6" x14ac:dyDescent="0.3">
      <c r="B18" s="23"/>
      <c r="D18" s="1" t="s">
        <v>13</v>
      </c>
    </row>
    <row r="20" spans="2:4" ht="15.6" x14ac:dyDescent="0.3">
      <c r="B20" s="23"/>
      <c r="D20" s="1" t="s">
        <v>15</v>
      </c>
    </row>
    <row r="22" spans="2:4" ht="15.6" x14ac:dyDescent="0.3">
      <c r="B22" s="23"/>
      <c r="D22" s="1" t="s">
        <v>17</v>
      </c>
    </row>
    <row r="24" spans="2:4" ht="15.6" x14ac:dyDescent="0.3">
      <c r="B24" s="23"/>
      <c r="D24" s="1" t="s">
        <v>19</v>
      </c>
    </row>
  </sheetData>
  <sheetProtection sheet="1" objects="1" scenarios="1" selectLockedCells="1"/>
  <mergeCells count="2">
    <mergeCell ref="B2:F2"/>
    <mergeCell ref="B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zoomScaleNormal="100" workbookViewId="0">
      <selection activeCell="C7" sqref="C7"/>
    </sheetView>
  </sheetViews>
  <sheetFormatPr defaultRowHeight="14.4" x14ac:dyDescent="0.3"/>
  <cols>
    <col min="1" max="1" width="30.77734375" style="21" customWidth="1"/>
    <col min="2" max="2" width="35.88671875" customWidth="1"/>
    <col min="3" max="3" width="34" customWidth="1"/>
  </cols>
  <sheetData>
    <row r="1" spans="2:6" ht="25.95" customHeight="1" x14ac:dyDescent="0.3">
      <c r="B1" s="14" t="s">
        <v>20</v>
      </c>
      <c r="C1" s="13"/>
      <c r="D1" s="13"/>
      <c r="E1" s="13"/>
    </row>
    <row r="2" spans="2:6" ht="18" customHeight="1" x14ac:dyDescent="0.3">
      <c r="B2" s="12" t="s">
        <v>21</v>
      </c>
      <c r="C2" s="13"/>
      <c r="D2" s="13"/>
      <c r="E2" s="13"/>
    </row>
    <row r="4" spans="2:6" x14ac:dyDescent="0.3">
      <c r="B4" s="2"/>
      <c r="D4" s="2"/>
      <c r="F4" s="2"/>
    </row>
    <row r="6" spans="2:6" x14ac:dyDescent="0.3">
      <c r="B6" s="20" t="s">
        <v>22</v>
      </c>
      <c r="C6" s="24"/>
    </row>
    <row r="7" spans="2:6" x14ac:dyDescent="0.3">
      <c r="B7" s="20" t="s">
        <v>23</v>
      </c>
      <c r="C7" s="24"/>
    </row>
    <row r="8" spans="2:6" x14ac:dyDescent="0.3">
      <c r="B8" s="20" t="s">
        <v>24</v>
      </c>
      <c r="C8" s="25"/>
    </row>
    <row r="9" spans="2:6" x14ac:dyDescent="0.3">
      <c r="B9" s="20" t="s">
        <v>25</v>
      </c>
      <c r="C9" s="24"/>
    </row>
    <row r="10" spans="2:6" x14ac:dyDescent="0.3">
      <c r="B10" s="20" t="s">
        <v>26</v>
      </c>
      <c r="C10" s="24"/>
    </row>
    <row r="11" spans="2:6" x14ac:dyDescent="0.3">
      <c r="B11" s="20" t="s">
        <v>27</v>
      </c>
      <c r="C11" s="24"/>
    </row>
    <row r="12" spans="2:6" x14ac:dyDescent="0.3">
      <c r="B12" s="20" t="s">
        <v>28</v>
      </c>
      <c r="C12" s="24"/>
    </row>
    <row r="13" spans="2:6" x14ac:dyDescent="0.3">
      <c r="B13" s="20" t="s">
        <v>29</v>
      </c>
      <c r="C13" s="24"/>
    </row>
    <row r="14" spans="2:6" x14ac:dyDescent="0.3">
      <c r="B14" s="20" t="s">
        <v>30</v>
      </c>
      <c r="C14" s="24"/>
    </row>
    <row r="15" spans="2:6" x14ac:dyDescent="0.3">
      <c r="B15" s="20" t="s">
        <v>31</v>
      </c>
      <c r="C15" s="24"/>
    </row>
    <row r="16" spans="2:6" x14ac:dyDescent="0.3">
      <c r="B16" s="20" t="s">
        <v>32</v>
      </c>
      <c r="C16" s="24"/>
    </row>
    <row r="17" spans="2:3" x14ac:dyDescent="0.3">
      <c r="B17" s="20" t="s">
        <v>33</v>
      </c>
      <c r="C17" s="24"/>
    </row>
    <row r="18" spans="2:3" x14ac:dyDescent="0.3">
      <c r="B18" s="20" t="s">
        <v>34</v>
      </c>
      <c r="C18" s="24"/>
    </row>
    <row r="19" spans="2:3" x14ac:dyDescent="0.3">
      <c r="B19" s="20" t="s">
        <v>35</v>
      </c>
      <c r="C19" s="24"/>
    </row>
  </sheetData>
  <sheetProtection sheet="1" objects="1" scenarios="1" selectLockedCells="1"/>
  <mergeCells count="2">
    <mergeCell ref="B1:E1"/>
    <mergeCell ref="B2:E2"/>
  </mergeCells>
  <dataValidations count="4">
    <dataValidation type="list" allowBlank="1" showErrorMessage="1" errorTitle="Valor inválido" error="Selecione SIM ou NÃO." sqref="C17:C19" xr:uid="{00000000-0002-0000-0100-000000000000}">
      <formula1>"SIM,NÃO"</formula1>
    </dataValidation>
    <dataValidation type="custom" allowBlank="1" showInputMessage="1" showErrorMessage="1" errorTitle="CPF inválido" error="O CPF deve estar no formato 000.000.000-00." promptTitle="Formato do CPF" prompt="Use o formato 000.000.000-00 (14 caracteres)." sqref="C7" xr:uid="{00000000-0002-0000-0100-000003000000}">
      <formula1>LEN(C7)=14</formula1>
    </dataValidation>
    <dataValidation type="custom" allowBlank="1" showInputMessage="1" showErrorMessage="1" errorTitle="CEP inválido" error="O CEP deve estar no formato 00000-000." promptTitle="Formato do CEP" prompt="Use o formato 00000-000." sqref="C13" xr:uid="{00000000-0002-0000-0100-000004000000}">
      <formula1>AND(LEN(C13)=9,MID(C13,6,1)="-")</formula1>
    </dataValidation>
    <dataValidation type="custom" allowBlank="1" showInputMessage="1" showErrorMessage="1" errorTitle="E-mail inválido" error="Informe um e-mail em formato válido." promptTitle="Formato do e-mail" prompt="Informe um e-mail válido (contendo @ e domínio)." sqref="C16" xr:uid="{00000000-0002-0000-0100-000005000000}">
      <formula1>AND(ISNUMBER(FIND("@",C16)),ISNUMBER(FIND(".",C16,FIND("@",C16))))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showRowColHeaders="0" workbookViewId="0">
      <selection activeCell="B15" sqref="B15"/>
    </sheetView>
  </sheetViews>
  <sheetFormatPr defaultRowHeight="14.4" x14ac:dyDescent="0.3"/>
  <cols>
    <col min="1" max="1" width="30.77734375" style="21" customWidth="1"/>
    <col min="2" max="2" width="32" customWidth="1"/>
    <col min="3" max="3" width="20" customWidth="1"/>
    <col min="4" max="4" width="24" customWidth="1"/>
    <col min="5" max="5" width="20" customWidth="1"/>
  </cols>
  <sheetData>
    <row r="1" spans="2:6" ht="25.95" customHeight="1" x14ac:dyDescent="0.3">
      <c r="B1" s="14" t="s">
        <v>5</v>
      </c>
      <c r="C1" s="13"/>
      <c r="D1" s="13"/>
      <c r="E1" s="13"/>
    </row>
    <row r="2" spans="2:6" ht="18" customHeight="1" x14ac:dyDescent="0.3">
      <c r="B2" s="12" t="s">
        <v>36</v>
      </c>
      <c r="C2" s="13"/>
      <c r="D2" s="13"/>
      <c r="E2" s="13"/>
    </row>
    <row r="4" spans="2:6" x14ac:dyDescent="0.3">
      <c r="B4" s="2"/>
      <c r="D4" s="2"/>
      <c r="F4" s="2"/>
    </row>
    <row r="6" spans="2:6" ht="28.8" x14ac:dyDescent="0.3">
      <c r="B6" s="4" t="s">
        <v>22</v>
      </c>
      <c r="C6" s="4" t="s">
        <v>23</v>
      </c>
      <c r="D6" s="4" t="s">
        <v>37</v>
      </c>
      <c r="E6" s="4" t="s">
        <v>38</v>
      </c>
    </row>
    <row r="7" spans="2:6" x14ac:dyDescent="0.3">
      <c r="B7" s="26" t="s">
        <v>39</v>
      </c>
      <c r="C7" s="26" t="s">
        <v>40</v>
      </c>
      <c r="D7" s="26" t="s">
        <v>41</v>
      </c>
      <c r="E7" s="27"/>
    </row>
    <row r="8" spans="2:6" x14ac:dyDescent="0.3">
      <c r="B8" s="24"/>
      <c r="C8" s="24"/>
      <c r="D8" s="24"/>
      <c r="E8" s="25"/>
    </row>
    <row r="9" spans="2:6" x14ac:dyDescent="0.3">
      <c r="B9" s="24"/>
      <c r="C9" s="24"/>
      <c r="D9" s="24"/>
      <c r="E9" s="25"/>
    </row>
    <row r="10" spans="2:6" x14ac:dyDescent="0.3">
      <c r="B10" s="24"/>
      <c r="C10" s="24"/>
      <c r="D10" s="24"/>
      <c r="E10" s="25"/>
    </row>
    <row r="11" spans="2:6" x14ac:dyDescent="0.3">
      <c r="B11" s="24"/>
      <c r="C11" s="24"/>
      <c r="D11" s="24"/>
      <c r="E11" s="25"/>
    </row>
    <row r="12" spans="2:6" x14ac:dyDescent="0.3">
      <c r="B12" s="24"/>
      <c r="C12" s="24"/>
      <c r="D12" s="24"/>
      <c r="E12" s="25"/>
    </row>
    <row r="13" spans="2:6" x14ac:dyDescent="0.3">
      <c r="B13" s="24"/>
      <c r="C13" s="24"/>
      <c r="D13" s="24"/>
      <c r="E13" s="25"/>
    </row>
    <row r="14" spans="2:6" x14ac:dyDescent="0.3">
      <c r="B14" s="24"/>
      <c r="C14" s="24"/>
      <c r="D14" s="24"/>
      <c r="E14" s="25"/>
    </row>
    <row r="15" spans="2:6" x14ac:dyDescent="0.3">
      <c r="B15" s="24"/>
      <c r="C15" s="24"/>
      <c r="D15" s="24"/>
      <c r="E15" s="25"/>
    </row>
    <row r="16" spans="2:6" x14ac:dyDescent="0.3">
      <c r="B16" s="24"/>
      <c r="C16" s="24"/>
      <c r="D16" s="24"/>
      <c r="E16" s="25"/>
    </row>
    <row r="17" spans="2:5" x14ac:dyDescent="0.3">
      <c r="B17" s="24"/>
      <c r="C17" s="24"/>
      <c r="D17" s="24"/>
      <c r="E17" s="25"/>
    </row>
  </sheetData>
  <sheetProtection sheet="1" objects="1" scenarios="1" selectLockedCells="1"/>
  <mergeCells count="2">
    <mergeCell ref="B1:E1"/>
    <mergeCell ref="B2:E2"/>
  </mergeCell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inválido" error="Selecione um valor da lista." promptTitle="Parentesco" prompt="Selecione o grau de parentesco do dependente." xr:uid="{00000000-0002-0000-0200-000000000000}">
          <x14:formula1>
            <xm:f>TABELAS!$B$2:$B$8</xm:f>
          </x14:formula1>
          <xm:sqref>D7:D17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showRowColHeaders="0" topLeftCell="A2" workbookViewId="0">
      <selection activeCell="B7" sqref="B7:D27"/>
    </sheetView>
  </sheetViews>
  <sheetFormatPr defaultRowHeight="14.4" x14ac:dyDescent="0.3"/>
  <cols>
    <col min="1" max="1" width="30.77734375" style="21" customWidth="1"/>
    <col min="2" max="2" width="30" customWidth="1"/>
    <col min="3" max="3" width="18" customWidth="1"/>
    <col min="4" max="4" width="24" customWidth="1"/>
  </cols>
  <sheetData>
    <row r="1" spans="2:6" ht="25.95" customHeight="1" x14ac:dyDescent="0.3">
      <c r="B1" s="14" t="s">
        <v>42</v>
      </c>
      <c r="C1" s="13"/>
      <c r="D1" s="13"/>
      <c r="E1" s="13"/>
    </row>
    <row r="2" spans="2:6" ht="18" customHeight="1" x14ac:dyDescent="0.3">
      <c r="B2" s="12" t="s">
        <v>43</v>
      </c>
      <c r="C2" s="13"/>
      <c r="D2" s="13"/>
      <c r="E2" s="13"/>
    </row>
    <row r="4" spans="2:6" x14ac:dyDescent="0.3">
      <c r="B4" s="2"/>
      <c r="D4" s="2"/>
      <c r="F4" s="2"/>
    </row>
    <row r="6" spans="2:6" x14ac:dyDescent="0.3">
      <c r="B6" s="4" t="s">
        <v>44</v>
      </c>
      <c r="C6" s="4" t="s">
        <v>45</v>
      </c>
      <c r="D6" s="4" t="s">
        <v>46</v>
      </c>
    </row>
    <row r="7" spans="2:6" x14ac:dyDescent="0.3">
      <c r="B7" s="26" t="s">
        <v>39</v>
      </c>
      <c r="C7" s="28">
        <v>0</v>
      </c>
      <c r="D7" s="26" t="s">
        <v>47</v>
      </c>
    </row>
    <row r="8" spans="2:6" x14ac:dyDescent="0.3">
      <c r="B8" s="24"/>
      <c r="C8" s="29"/>
      <c r="D8" s="24"/>
    </row>
    <row r="9" spans="2:6" x14ac:dyDescent="0.3">
      <c r="B9" s="24"/>
      <c r="C9" s="29"/>
      <c r="D9" s="24"/>
    </row>
    <row r="10" spans="2:6" x14ac:dyDescent="0.3">
      <c r="B10" s="24"/>
      <c r="C10" s="29"/>
      <c r="D10" s="24"/>
    </row>
    <row r="11" spans="2:6" x14ac:dyDescent="0.3">
      <c r="B11" s="24"/>
      <c r="C11" s="29"/>
      <c r="D11" s="24"/>
    </row>
    <row r="12" spans="2:6" x14ac:dyDescent="0.3">
      <c r="B12" s="24"/>
      <c r="C12" s="29"/>
      <c r="D12" s="24"/>
    </row>
    <row r="13" spans="2:6" x14ac:dyDescent="0.3">
      <c r="B13" s="24"/>
      <c r="C13" s="29"/>
      <c r="D13" s="24"/>
    </row>
    <row r="14" spans="2:6" x14ac:dyDescent="0.3">
      <c r="B14" s="24"/>
      <c r="C14" s="29"/>
      <c r="D14" s="24"/>
    </row>
    <row r="15" spans="2:6" x14ac:dyDescent="0.3">
      <c r="B15" s="24"/>
      <c r="C15" s="29"/>
      <c r="D15" s="24"/>
    </row>
    <row r="16" spans="2:6" x14ac:dyDescent="0.3">
      <c r="B16" s="24"/>
      <c r="C16" s="29"/>
      <c r="D16" s="24"/>
    </row>
    <row r="17" spans="2:4" x14ac:dyDescent="0.3">
      <c r="B17" s="24"/>
      <c r="C17" s="29"/>
      <c r="D17" s="24"/>
    </row>
    <row r="18" spans="2:4" x14ac:dyDescent="0.3">
      <c r="B18" s="24"/>
      <c r="C18" s="29"/>
      <c r="D18" s="24"/>
    </row>
    <row r="19" spans="2:4" x14ac:dyDescent="0.3">
      <c r="B19" s="24"/>
      <c r="C19" s="29"/>
      <c r="D19" s="24"/>
    </row>
    <row r="20" spans="2:4" x14ac:dyDescent="0.3">
      <c r="B20" s="24"/>
      <c r="C20" s="29"/>
      <c r="D20" s="24"/>
    </row>
    <row r="21" spans="2:4" x14ac:dyDescent="0.3">
      <c r="B21" s="24"/>
      <c r="C21" s="29"/>
      <c r="D21" s="24"/>
    </row>
    <row r="22" spans="2:4" x14ac:dyDescent="0.3">
      <c r="B22" s="24"/>
      <c r="C22" s="29"/>
      <c r="D22" s="24"/>
    </row>
    <row r="23" spans="2:4" x14ac:dyDescent="0.3">
      <c r="B23" s="24"/>
      <c r="C23" s="29"/>
      <c r="D23" s="24"/>
    </row>
    <row r="24" spans="2:4" x14ac:dyDescent="0.3">
      <c r="B24" s="24"/>
      <c r="C24" s="29"/>
      <c r="D24" s="24"/>
    </row>
    <row r="25" spans="2:4" x14ac:dyDescent="0.3">
      <c r="B25" s="24"/>
      <c r="C25" s="29"/>
      <c r="D25" s="24"/>
    </row>
    <row r="26" spans="2:4" x14ac:dyDescent="0.3">
      <c r="B26" s="24"/>
      <c r="C26" s="29"/>
      <c r="D26" s="24"/>
    </row>
    <row r="27" spans="2:4" x14ac:dyDescent="0.3">
      <c r="B27" s="24"/>
      <c r="C27" s="29"/>
      <c r="D27" s="24"/>
    </row>
    <row r="29" spans="2:4" ht="15.6" x14ac:dyDescent="0.3">
      <c r="B29" s="6" t="s">
        <v>48</v>
      </c>
      <c r="C29" s="7">
        <f>SUM(TabelaBancos[SALDO ATUAL])</f>
        <v>0</v>
      </c>
    </row>
  </sheetData>
  <sheetProtection sheet="1" objects="1" scenarios="1" selectLockedCells="1"/>
  <mergeCells count="2">
    <mergeCell ref="B1:E1"/>
    <mergeCell ref="B2:E2"/>
  </mergeCell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banco da lista." promptTitle="Informe um banco" prompt="Informe um banco vinculado ao seu CPF." xr:uid="{00000000-0002-0000-0300-000000000000}">
          <x14:formula1>
            <xm:f>TABELAS!$A$2:$A$51</xm:f>
          </x14:formula1>
          <xm:sqref>B7:B27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showGridLines="0" showRowColHeaders="0" topLeftCell="A3" workbookViewId="0">
      <selection activeCell="B7" sqref="B7:F27"/>
    </sheetView>
  </sheetViews>
  <sheetFormatPr defaultRowHeight="14.4" x14ac:dyDescent="0.3"/>
  <cols>
    <col min="1" max="1" width="30.77734375" style="21" customWidth="1"/>
    <col min="2" max="2" width="24" customWidth="1"/>
    <col min="3" max="3" width="32" customWidth="1"/>
    <col min="4" max="4" width="18" customWidth="1"/>
    <col min="5" max="6" width="20" customWidth="1"/>
  </cols>
  <sheetData>
    <row r="1" spans="2:6" ht="25.95" customHeight="1" x14ac:dyDescent="0.3">
      <c r="B1" s="14" t="s">
        <v>8</v>
      </c>
      <c r="C1" s="13"/>
      <c r="D1" s="13"/>
      <c r="E1" s="13"/>
      <c r="F1" s="13"/>
    </row>
    <row r="2" spans="2:6" ht="18" customHeight="1" x14ac:dyDescent="0.3">
      <c r="B2" s="12" t="s">
        <v>49</v>
      </c>
      <c r="C2" s="13"/>
      <c r="D2" s="13"/>
      <c r="E2" s="13"/>
      <c r="F2" s="13"/>
    </row>
    <row r="4" spans="2:6" x14ac:dyDescent="0.3">
      <c r="B4" s="2"/>
      <c r="D4" s="2"/>
      <c r="F4" s="2"/>
    </row>
    <row r="6" spans="2:6" ht="28.8" x14ac:dyDescent="0.3">
      <c r="B6" s="4" t="s">
        <v>50</v>
      </c>
      <c r="C6" s="4" t="s">
        <v>51</v>
      </c>
      <c r="D6" s="4" t="s">
        <v>52</v>
      </c>
      <c r="E6" s="4" t="s">
        <v>53</v>
      </c>
      <c r="F6" s="4" t="s">
        <v>54</v>
      </c>
    </row>
    <row r="7" spans="2:6" x14ac:dyDescent="0.3">
      <c r="B7" s="26" t="s">
        <v>55</v>
      </c>
      <c r="C7" s="26" t="s">
        <v>39</v>
      </c>
      <c r="D7" s="27"/>
      <c r="E7" s="28">
        <v>0</v>
      </c>
      <c r="F7" s="28">
        <v>0</v>
      </c>
    </row>
    <row r="8" spans="2:6" x14ac:dyDescent="0.3">
      <c r="B8" s="24"/>
      <c r="C8" s="24"/>
      <c r="D8" s="25"/>
      <c r="E8" s="29"/>
      <c r="F8" s="29"/>
    </row>
    <row r="9" spans="2:6" x14ac:dyDescent="0.3">
      <c r="B9" s="24"/>
      <c r="C9" s="24"/>
      <c r="D9" s="25"/>
      <c r="E9" s="29"/>
      <c r="F9" s="29"/>
    </row>
    <row r="10" spans="2:6" x14ac:dyDescent="0.3">
      <c r="B10" s="24"/>
      <c r="C10" s="24"/>
      <c r="D10" s="25"/>
      <c r="E10" s="29"/>
      <c r="F10" s="29"/>
    </row>
    <row r="11" spans="2:6" x14ac:dyDescent="0.3">
      <c r="B11" s="24"/>
      <c r="C11" s="24"/>
      <c r="D11" s="25"/>
      <c r="E11" s="29"/>
      <c r="F11" s="29"/>
    </row>
    <row r="12" spans="2:6" x14ac:dyDescent="0.3">
      <c r="B12" s="24"/>
      <c r="C12" s="24"/>
      <c r="D12" s="25"/>
      <c r="E12" s="29"/>
      <c r="F12" s="29"/>
    </row>
    <row r="13" spans="2:6" x14ac:dyDescent="0.3">
      <c r="B13" s="24"/>
      <c r="C13" s="24"/>
      <c r="D13" s="25"/>
      <c r="E13" s="29"/>
      <c r="F13" s="29"/>
    </row>
    <row r="14" spans="2:6" x14ac:dyDescent="0.3">
      <c r="B14" s="24"/>
      <c r="C14" s="24"/>
      <c r="D14" s="25"/>
      <c r="E14" s="29"/>
      <c r="F14" s="29"/>
    </row>
    <row r="15" spans="2:6" x14ac:dyDescent="0.3">
      <c r="B15" s="24"/>
      <c r="C15" s="24"/>
      <c r="D15" s="25"/>
      <c r="E15" s="29"/>
      <c r="F15" s="29"/>
    </row>
    <row r="16" spans="2:6" x14ac:dyDescent="0.3">
      <c r="B16" s="24"/>
      <c r="C16" s="24"/>
      <c r="D16" s="25"/>
      <c r="E16" s="29"/>
      <c r="F16" s="29"/>
    </row>
    <row r="17" spans="2:6" x14ac:dyDescent="0.3">
      <c r="B17" s="24"/>
      <c r="C17" s="24"/>
      <c r="D17" s="25"/>
      <c r="E17" s="29"/>
      <c r="F17" s="29"/>
    </row>
    <row r="18" spans="2:6" x14ac:dyDescent="0.3">
      <c r="B18" s="24"/>
      <c r="C18" s="24"/>
      <c r="D18" s="25"/>
      <c r="E18" s="29"/>
      <c r="F18" s="29"/>
    </row>
    <row r="19" spans="2:6" x14ac:dyDescent="0.3">
      <c r="B19" s="24"/>
      <c r="C19" s="24"/>
      <c r="D19" s="25"/>
      <c r="E19" s="29"/>
      <c r="F19" s="29"/>
    </row>
    <row r="20" spans="2:6" x14ac:dyDescent="0.3">
      <c r="B20" s="24"/>
      <c r="C20" s="24"/>
      <c r="D20" s="25"/>
      <c r="E20" s="29"/>
      <c r="F20" s="29"/>
    </row>
    <row r="21" spans="2:6" x14ac:dyDescent="0.3">
      <c r="B21" s="24"/>
      <c r="C21" s="24"/>
      <c r="D21" s="25"/>
      <c r="E21" s="29"/>
      <c r="F21" s="29"/>
    </row>
    <row r="22" spans="2:6" x14ac:dyDescent="0.3">
      <c r="B22" s="24"/>
      <c r="C22" s="24"/>
      <c r="D22" s="25"/>
      <c r="E22" s="29"/>
      <c r="F22" s="29"/>
    </row>
    <row r="23" spans="2:6" x14ac:dyDescent="0.3">
      <c r="B23" s="24"/>
      <c r="C23" s="24"/>
      <c r="D23" s="25"/>
      <c r="E23" s="29"/>
      <c r="F23" s="29"/>
    </row>
    <row r="24" spans="2:6" x14ac:dyDescent="0.3">
      <c r="B24" s="24"/>
      <c r="C24" s="24"/>
      <c r="D24" s="25"/>
      <c r="E24" s="29"/>
      <c r="F24" s="29"/>
    </row>
    <row r="25" spans="2:6" x14ac:dyDescent="0.3">
      <c r="B25" s="24"/>
      <c r="C25" s="24"/>
      <c r="D25" s="25"/>
      <c r="E25" s="29"/>
      <c r="F25" s="29"/>
    </row>
    <row r="26" spans="2:6" x14ac:dyDescent="0.3">
      <c r="B26" s="24"/>
      <c r="C26" s="24"/>
      <c r="D26" s="25"/>
      <c r="E26" s="29"/>
      <c r="F26" s="29"/>
    </row>
    <row r="27" spans="2:6" x14ac:dyDescent="0.3">
      <c r="B27" s="24"/>
      <c r="C27" s="24"/>
      <c r="D27" s="25"/>
      <c r="E27" s="29"/>
      <c r="F27" s="29"/>
    </row>
    <row r="29" spans="2:6" x14ac:dyDescent="0.3">
      <c r="B29" s="6" t="s">
        <v>48</v>
      </c>
      <c r="E29" s="8">
        <f>SUM(TabelaBens[SITUAÇÃO ANO ANTERIOR])</f>
        <v>0</v>
      </c>
      <c r="F29" s="8">
        <f>SUM(TabelaBens[SITUAÇÃO ANO ATUAL])</f>
        <v>0</v>
      </c>
    </row>
  </sheetData>
  <sheetProtection sheet="1" objects="1" scenarios="1" selectLockedCells="1"/>
  <mergeCells count="2">
    <mergeCell ref="B2:F2"/>
    <mergeCell ref="B1:F1"/>
  </mergeCell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inválido" error="Selecione um valor da lista." promptTitle="Tipo de bem" prompt="Selecione a categoria do bem, conforme os grupos da Receita Federal." xr:uid="{00000000-0002-0000-0400-000000000000}">
          <x14:formula1>
            <xm:f>TABELAS!$C$2:$C$9</xm:f>
          </x14:formula1>
          <xm:sqref>B7:B27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showGridLines="0" showRowColHeaders="0" workbookViewId="0">
      <selection activeCell="B7" sqref="B7:E23"/>
    </sheetView>
  </sheetViews>
  <sheetFormatPr defaultRowHeight="14.4" x14ac:dyDescent="0.3"/>
  <cols>
    <col min="1" max="1" width="30.77734375" style="21" customWidth="1"/>
    <col min="2" max="2" width="26" customWidth="1"/>
    <col min="3" max="3" width="32" customWidth="1"/>
    <col min="4" max="5" width="20" customWidth="1"/>
  </cols>
  <sheetData>
    <row r="1" spans="2:6" ht="25.95" customHeight="1" x14ac:dyDescent="0.3">
      <c r="B1" s="14" t="s">
        <v>10</v>
      </c>
      <c r="C1" s="13"/>
      <c r="D1" s="13"/>
      <c r="E1" s="13"/>
      <c r="F1" s="13"/>
    </row>
    <row r="2" spans="2:6" ht="18" customHeight="1" x14ac:dyDescent="0.3">
      <c r="B2" s="12" t="s">
        <v>11</v>
      </c>
      <c r="C2" s="13"/>
      <c r="D2" s="13"/>
      <c r="E2" s="13"/>
      <c r="F2" s="13"/>
    </row>
    <row r="4" spans="2:6" x14ac:dyDescent="0.3">
      <c r="B4" s="2"/>
      <c r="D4" s="2"/>
      <c r="F4" s="2"/>
    </row>
    <row r="6" spans="2:6" ht="28.8" x14ac:dyDescent="0.3">
      <c r="B6" s="4" t="s">
        <v>56</v>
      </c>
      <c r="C6" s="4" t="s">
        <v>57</v>
      </c>
      <c r="D6" s="4" t="s">
        <v>53</v>
      </c>
      <c r="E6" s="4" t="s">
        <v>54</v>
      </c>
    </row>
    <row r="7" spans="2:6" x14ac:dyDescent="0.3">
      <c r="B7" s="26" t="s">
        <v>58</v>
      </c>
      <c r="C7" s="26" t="s">
        <v>39</v>
      </c>
      <c r="D7" s="28">
        <v>0</v>
      </c>
      <c r="E7" s="28">
        <v>0</v>
      </c>
    </row>
    <row r="8" spans="2:6" x14ac:dyDescent="0.3">
      <c r="B8" s="24"/>
      <c r="C8" s="24"/>
      <c r="D8" s="29"/>
      <c r="E8" s="29"/>
    </row>
    <row r="9" spans="2:6" x14ac:dyDescent="0.3">
      <c r="B9" s="24"/>
      <c r="C9" s="24"/>
      <c r="D9" s="29"/>
      <c r="E9" s="29"/>
    </row>
    <row r="10" spans="2:6" x14ac:dyDescent="0.3">
      <c r="B10" s="24"/>
      <c r="C10" s="24"/>
      <c r="D10" s="29"/>
      <c r="E10" s="29"/>
    </row>
    <row r="11" spans="2:6" x14ac:dyDescent="0.3">
      <c r="B11" s="24"/>
      <c r="C11" s="24"/>
      <c r="D11" s="29"/>
      <c r="E11" s="29"/>
    </row>
    <row r="12" spans="2:6" x14ac:dyDescent="0.3">
      <c r="B12" s="24"/>
      <c r="C12" s="24"/>
      <c r="D12" s="29"/>
      <c r="E12" s="29"/>
    </row>
    <row r="13" spans="2:6" x14ac:dyDescent="0.3">
      <c r="B13" s="24"/>
      <c r="C13" s="24"/>
      <c r="D13" s="29"/>
      <c r="E13" s="29"/>
    </row>
    <row r="14" spans="2:6" x14ac:dyDescent="0.3">
      <c r="B14" s="24"/>
      <c r="C14" s="24"/>
      <c r="D14" s="29"/>
      <c r="E14" s="29"/>
    </row>
    <row r="15" spans="2:6" x14ac:dyDescent="0.3">
      <c r="B15" s="24"/>
      <c r="C15" s="24"/>
      <c r="D15" s="29"/>
      <c r="E15" s="29"/>
    </row>
    <row r="16" spans="2:6" x14ac:dyDescent="0.3">
      <c r="B16" s="24"/>
      <c r="C16" s="24"/>
      <c r="D16" s="29"/>
      <c r="E16" s="29"/>
    </row>
    <row r="17" spans="2:5" x14ac:dyDescent="0.3">
      <c r="B17" s="24"/>
      <c r="C17" s="24"/>
      <c r="D17" s="29"/>
      <c r="E17" s="29"/>
    </row>
    <row r="18" spans="2:5" x14ac:dyDescent="0.3">
      <c r="B18" s="24"/>
      <c r="C18" s="24"/>
      <c r="D18" s="29"/>
      <c r="E18" s="29"/>
    </row>
    <row r="19" spans="2:5" x14ac:dyDescent="0.3">
      <c r="B19" s="24"/>
      <c r="C19" s="24"/>
      <c r="D19" s="29"/>
      <c r="E19" s="29"/>
    </row>
    <row r="20" spans="2:5" x14ac:dyDescent="0.3">
      <c r="B20" s="24"/>
      <c r="C20" s="24"/>
      <c r="D20" s="29"/>
      <c r="E20" s="29"/>
    </row>
    <row r="21" spans="2:5" x14ac:dyDescent="0.3">
      <c r="B21" s="24"/>
      <c r="C21" s="24"/>
      <c r="D21" s="29"/>
      <c r="E21" s="29"/>
    </row>
    <row r="22" spans="2:5" x14ac:dyDescent="0.3">
      <c r="B22" s="24"/>
      <c r="C22" s="24"/>
      <c r="D22" s="29"/>
      <c r="E22" s="29"/>
    </row>
    <row r="23" spans="2:5" x14ac:dyDescent="0.3">
      <c r="B23" s="24"/>
      <c r="C23" s="24"/>
      <c r="D23" s="29"/>
      <c r="E23" s="29"/>
    </row>
    <row r="25" spans="2:5" x14ac:dyDescent="0.3">
      <c r="B25" s="6" t="s">
        <v>48</v>
      </c>
      <c r="D25" s="8">
        <f>SUM(TabelaDividas[SITUAÇÃO ANO ANTERIOR])</f>
        <v>0</v>
      </c>
      <c r="E25" s="8">
        <f>SUM(TabelaDividas[SITUAÇÃO ANO ATUAL])</f>
        <v>0</v>
      </c>
    </row>
  </sheetData>
  <sheetProtection sheet="1" objects="1" scenarios="1" selectLockedCells="1"/>
  <mergeCells count="2">
    <mergeCell ref="B2:F2"/>
    <mergeCell ref="B1:F1"/>
  </mergeCell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inválido" error="Selecione um valor da lista." promptTitle="Tipo de dívida" prompt="Selecione a categoria da dívida ou ônus." xr:uid="{00000000-0002-0000-0500-000000000000}">
          <x14:formula1>
            <xm:f>TABELAS!$D$2:$D$6</xm:f>
          </x14:formula1>
          <xm:sqref>B7:B23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showRowColHeaders="0" workbookViewId="0">
      <selection activeCell="B7" sqref="B7:E27"/>
    </sheetView>
  </sheetViews>
  <sheetFormatPr defaultRowHeight="14.4" x14ac:dyDescent="0.3"/>
  <cols>
    <col min="1" max="1" width="30.77734375" style="21" customWidth="1"/>
    <col min="2" max="2" width="24" customWidth="1"/>
    <col min="3" max="3" width="34" customWidth="1"/>
    <col min="4" max="4" width="16" customWidth="1"/>
    <col min="5" max="5" width="20" customWidth="1"/>
  </cols>
  <sheetData>
    <row r="1" spans="2:6" ht="25.95" customHeight="1" x14ac:dyDescent="0.3">
      <c r="B1" s="14" t="s">
        <v>12</v>
      </c>
      <c r="C1" s="13"/>
      <c r="D1" s="13"/>
      <c r="E1" s="13"/>
      <c r="F1" s="13"/>
    </row>
    <row r="2" spans="2:6" ht="18" customHeight="1" x14ac:dyDescent="0.3">
      <c r="B2" s="12" t="s">
        <v>59</v>
      </c>
      <c r="C2" s="13"/>
      <c r="D2" s="13"/>
      <c r="E2" s="13"/>
      <c r="F2" s="13"/>
    </row>
    <row r="4" spans="2:6" x14ac:dyDescent="0.3">
      <c r="B4" s="2"/>
      <c r="D4" s="2"/>
      <c r="F4" s="2"/>
    </row>
    <row r="6" spans="2:6" x14ac:dyDescent="0.3">
      <c r="B6" s="4" t="s">
        <v>60</v>
      </c>
      <c r="C6" s="4" t="s">
        <v>61</v>
      </c>
      <c r="D6" s="4" t="s">
        <v>62</v>
      </c>
      <c r="E6" s="4" t="s">
        <v>46</v>
      </c>
    </row>
    <row r="7" spans="2:6" x14ac:dyDescent="0.3">
      <c r="B7" s="26" t="s">
        <v>63</v>
      </c>
      <c r="C7" s="26" t="s">
        <v>39</v>
      </c>
      <c r="D7" s="28">
        <v>0</v>
      </c>
      <c r="E7" s="26" t="s">
        <v>64</v>
      </c>
    </row>
    <row r="8" spans="2:6" x14ac:dyDescent="0.3">
      <c r="B8" s="24"/>
      <c r="C8" s="24"/>
      <c r="D8" s="29"/>
      <c r="E8" s="24"/>
    </row>
    <row r="9" spans="2:6" x14ac:dyDescent="0.3">
      <c r="B9" s="24"/>
      <c r="C9" s="24"/>
      <c r="D9" s="29"/>
      <c r="E9" s="24"/>
    </row>
    <row r="10" spans="2:6" x14ac:dyDescent="0.3">
      <c r="B10" s="24"/>
      <c r="C10" s="24"/>
      <c r="D10" s="29"/>
      <c r="E10" s="24"/>
    </row>
    <row r="11" spans="2:6" x14ac:dyDescent="0.3">
      <c r="B11" s="24"/>
      <c r="C11" s="24"/>
      <c r="D11" s="29"/>
      <c r="E11" s="24"/>
    </row>
    <row r="12" spans="2:6" x14ac:dyDescent="0.3">
      <c r="B12" s="24"/>
      <c r="C12" s="24"/>
      <c r="D12" s="29"/>
      <c r="E12" s="24"/>
    </row>
    <row r="13" spans="2:6" x14ac:dyDescent="0.3">
      <c r="B13" s="24"/>
      <c r="C13" s="24"/>
      <c r="D13" s="29"/>
      <c r="E13" s="24"/>
    </row>
    <row r="14" spans="2:6" x14ac:dyDescent="0.3">
      <c r="B14" s="24"/>
      <c r="C14" s="24"/>
      <c r="D14" s="29"/>
      <c r="E14" s="24"/>
    </row>
    <row r="15" spans="2:6" x14ac:dyDescent="0.3">
      <c r="B15" s="24"/>
      <c r="C15" s="24"/>
      <c r="D15" s="29"/>
      <c r="E15" s="24"/>
    </row>
    <row r="16" spans="2:6" x14ac:dyDescent="0.3">
      <c r="B16" s="24"/>
      <c r="C16" s="24"/>
      <c r="D16" s="29"/>
      <c r="E16" s="24"/>
    </row>
    <row r="17" spans="2:5" x14ac:dyDescent="0.3">
      <c r="B17" s="24"/>
      <c r="C17" s="24"/>
      <c r="D17" s="29"/>
      <c r="E17" s="24"/>
    </row>
    <row r="18" spans="2:5" x14ac:dyDescent="0.3">
      <c r="B18" s="24"/>
      <c r="C18" s="24"/>
      <c r="D18" s="29"/>
      <c r="E18" s="24"/>
    </row>
    <row r="19" spans="2:5" x14ac:dyDescent="0.3">
      <c r="B19" s="24"/>
      <c r="C19" s="24"/>
      <c r="D19" s="29"/>
      <c r="E19" s="24"/>
    </row>
    <row r="20" spans="2:5" x14ac:dyDescent="0.3">
      <c r="B20" s="24"/>
      <c r="C20" s="24"/>
      <c r="D20" s="29"/>
      <c r="E20" s="24"/>
    </row>
    <row r="21" spans="2:5" x14ac:dyDescent="0.3">
      <c r="B21" s="24"/>
      <c r="C21" s="24"/>
      <c r="D21" s="29"/>
      <c r="E21" s="24"/>
    </row>
    <row r="22" spans="2:5" x14ac:dyDescent="0.3">
      <c r="B22" s="24"/>
      <c r="C22" s="24"/>
      <c r="D22" s="29"/>
      <c r="E22" s="24"/>
    </row>
    <row r="23" spans="2:5" x14ac:dyDescent="0.3">
      <c r="B23" s="24"/>
      <c r="C23" s="24"/>
      <c r="D23" s="29"/>
      <c r="E23" s="24"/>
    </row>
    <row r="24" spans="2:5" x14ac:dyDescent="0.3">
      <c r="B24" s="24"/>
      <c r="C24" s="24"/>
      <c r="D24" s="29"/>
      <c r="E24" s="24"/>
    </row>
    <row r="25" spans="2:5" x14ac:dyDescent="0.3">
      <c r="B25" s="24"/>
      <c r="C25" s="24"/>
      <c r="D25" s="29"/>
      <c r="E25" s="24"/>
    </row>
    <row r="26" spans="2:5" x14ac:dyDescent="0.3">
      <c r="B26" s="24"/>
      <c r="C26" s="24"/>
      <c r="D26" s="29"/>
      <c r="E26" s="24"/>
    </row>
    <row r="27" spans="2:5" x14ac:dyDescent="0.3">
      <c r="B27" s="24"/>
      <c r="C27" s="24"/>
      <c r="D27" s="29"/>
      <c r="E27" s="24"/>
    </row>
    <row r="29" spans="2:5" x14ac:dyDescent="0.3">
      <c r="B29" s="6" t="s">
        <v>48</v>
      </c>
      <c r="D29" s="8">
        <f>SUM(TabelaDespesas[VALOR])</f>
        <v>0</v>
      </c>
    </row>
  </sheetData>
  <sheetProtection sheet="1" objects="1" scenarios="1" selectLockedCells="1"/>
  <mergeCells count="2">
    <mergeCell ref="B2:F2"/>
    <mergeCell ref="B1:F1"/>
  </mergeCell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inválido" error="Selecione um valor da lista." promptTitle="Categoria da despesa" prompt="Selecione o tipo de despesa dedutível." xr:uid="{00000000-0002-0000-0600-000000000000}">
          <x14:formula1>
            <xm:f>TABELAS!$E$2:$E$7</xm:f>
          </x14:formula1>
          <xm:sqref>B7:B27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showGridLines="0" showRowColHeaders="0" workbookViewId="0">
      <selection activeCell="B7" sqref="B7"/>
    </sheetView>
  </sheetViews>
  <sheetFormatPr defaultRowHeight="14.4" x14ac:dyDescent="0.3"/>
  <cols>
    <col min="1" max="1" width="30.77734375" style="21" customWidth="1"/>
    <col min="2" max="2" width="16" customWidth="1"/>
    <col min="3" max="3" width="18" customWidth="1"/>
    <col min="4" max="4" width="20" customWidth="1"/>
    <col min="5" max="5" width="16" customWidth="1"/>
  </cols>
  <sheetData>
    <row r="1" spans="2:6" ht="25.95" customHeight="1" x14ac:dyDescent="0.3">
      <c r="B1" s="14" t="s">
        <v>14</v>
      </c>
      <c r="C1" s="13"/>
      <c r="D1" s="13"/>
      <c r="E1" s="13"/>
      <c r="F1" s="13"/>
    </row>
    <row r="2" spans="2:6" ht="18" customHeight="1" x14ac:dyDescent="0.3">
      <c r="B2" s="12" t="s">
        <v>65</v>
      </c>
      <c r="C2" s="13"/>
      <c r="D2" s="13"/>
      <c r="E2" s="13"/>
      <c r="F2" s="13"/>
    </row>
    <row r="4" spans="2:6" x14ac:dyDescent="0.3">
      <c r="B4" s="2"/>
      <c r="D4" s="2"/>
      <c r="F4" s="2"/>
    </row>
    <row r="6" spans="2:6" x14ac:dyDescent="0.3">
      <c r="B6" s="4" t="s">
        <v>66</v>
      </c>
      <c r="C6" s="4" t="s">
        <v>60</v>
      </c>
      <c r="D6" s="4" t="s">
        <v>67</v>
      </c>
      <c r="E6" s="4" t="s">
        <v>62</v>
      </c>
    </row>
    <row r="7" spans="2:6" x14ac:dyDescent="0.3">
      <c r="B7" s="27"/>
      <c r="C7" s="26" t="s">
        <v>68</v>
      </c>
      <c r="D7" s="26" t="s">
        <v>69</v>
      </c>
      <c r="E7" s="28">
        <v>0</v>
      </c>
    </row>
    <row r="8" spans="2:6" x14ac:dyDescent="0.3">
      <c r="B8" s="25"/>
      <c r="C8" s="24"/>
      <c r="D8" s="24"/>
      <c r="E8" s="29"/>
    </row>
    <row r="9" spans="2:6" x14ac:dyDescent="0.3">
      <c r="B9" s="25"/>
      <c r="C9" s="24"/>
      <c r="D9" s="24"/>
      <c r="E9" s="29"/>
    </row>
    <row r="10" spans="2:6" x14ac:dyDescent="0.3">
      <c r="B10" s="25"/>
      <c r="C10" s="24"/>
      <c r="D10" s="24"/>
      <c r="E10" s="29"/>
    </row>
    <row r="11" spans="2:6" x14ac:dyDescent="0.3">
      <c r="B11" s="25"/>
      <c r="C11" s="24"/>
      <c r="D11" s="24"/>
      <c r="E11" s="29"/>
    </row>
    <row r="12" spans="2:6" x14ac:dyDescent="0.3">
      <c r="B12" s="25"/>
      <c r="C12" s="24"/>
      <c r="D12" s="24"/>
      <c r="E12" s="29"/>
    </row>
    <row r="13" spans="2:6" x14ac:dyDescent="0.3">
      <c r="B13" s="25"/>
      <c r="C13" s="24"/>
      <c r="D13" s="24"/>
      <c r="E13" s="29"/>
    </row>
    <row r="14" spans="2:6" x14ac:dyDescent="0.3">
      <c r="B14" s="25"/>
      <c r="C14" s="24"/>
      <c r="D14" s="24"/>
      <c r="E14" s="29"/>
    </row>
    <row r="15" spans="2:6" x14ac:dyDescent="0.3">
      <c r="B15" s="25"/>
      <c r="C15" s="24"/>
      <c r="D15" s="24"/>
      <c r="E15" s="29"/>
    </row>
    <row r="16" spans="2:6" x14ac:dyDescent="0.3">
      <c r="B16" s="25"/>
      <c r="C16" s="24"/>
      <c r="D16" s="24"/>
      <c r="E16" s="29"/>
    </row>
    <row r="17" spans="2:5" x14ac:dyDescent="0.3">
      <c r="B17" s="25"/>
      <c r="C17" s="24"/>
      <c r="D17" s="24"/>
      <c r="E17" s="29"/>
    </row>
    <row r="18" spans="2:5" x14ac:dyDescent="0.3">
      <c r="B18" s="25"/>
      <c r="C18" s="24"/>
      <c r="D18" s="24"/>
      <c r="E18" s="29"/>
    </row>
    <row r="19" spans="2:5" x14ac:dyDescent="0.3">
      <c r="B19" s="25"/>
      <c r="C19" s="24"/>
      <c r="D19" s="24"/>
      <c r="E19" s="29"/>
    </row>
    <row r="20" spans="2:5" x14ac:dyDescent="0.3">
      <c r="B20" s="25"/>
      <c r="C20" s="24"/>
      <c r="D20" s="24"/>
      <c r="E20" s="29"/>
    </row>
    <row r="21" spans="2:5" x14ac:dyDescent="0.3">
      <c r="B21" s="25"/>
      <c r="C21" s="24"/>
      <c r="D21" s="24"/>
      <c r="E21" s="29"/>
    </row>
    <row r="22" spans="2:5" x14ac:dyDescent="0.3">
      <c r="B22" s="25"/>
      <c r="C22" s="24"/>
      <c r="D22" s="24"/>
      <c r="E22" s="29"/>
    </row>
    <row r="23" spans="2:5" x14ac:dyDescent="0.3">
      <c r="B23" s="25"/>
      <c r="C23" s="24"/>
      <c r="D23" s="24"/>
      <c r="E23" s="29"/>
    </row>
    <row r="24" spans="2:5" x14ac:dyDescent="0.3">
      <c r="B24" s="25"/>
      <c r="C24" s="24"/>
      <c r="D24" s="24"/>
      <c r="E24" s="29"/>
    </row>
    <row r="25" spans="2:5" x14ac:dyDescent="0.3">
      <c r="B25" s="25"/>
      <c r="C25" s="24"/>
      <c r="D25" s="24"/>
      <c r="E25" s="29"/>
    </row>
    <row r="26" spans="2:5" x14ac:dyDescent="0.3">
      <c r="B26" s="25"/>
      <c r="C26" s="24"/>
      <c r="D26" s="24"/>
      <c r="E26" s="29"/>
    </row>
    <row r="27" spans="2:5" x14ac:dyDescent="0.3">
      <c r="B27" s="25"/>
      <c r="C27" s="24"/>
      <c r="D27" s="24"/>
      <c r="E27" s="29"/>
    </row>
    <row r="28" spans="2:5" x14ac:dyDescent="0.3">
      <c r="B28" s="25"/>
      <c r="C28" s="24"/>
      <c r="D28" s="24"/>
      <c r="E28" s="29"/>
    </row>
    <row r="29" spans="2:5" x14ac:dyDescent="0.3">
      <c r="B29" s="25"/>
      <c r="C29" s="24"/>
      <c r="D29" s="24"/>
      <c r="E29" s="29"/>
    </row>
    <row r="30" spans="2:5" x14ac:dyDescent="0.3">
      <c r="B30" s="25"/>
      <c r="C30" s="24"/>
      <c r="D30" s="24"/>
      <c r="E30" s="29"/>
    </row>
    <row r="31" spans="2:5" x14ac:dyDescent="0.3">
      <c r="B31" s="25"/>
      <c r="C31" s="24"/>
      <c r="D31" s="24"/>
      <c r="E31" s="29"/>
    </row>
    <row r="32" spans="2:5" x14ac:dyDescent="0.3">
      <c r="B32" s="25"/>
      <c r="C32" s="24"/>
      <c r="D32" s="24"/>
      <c r="E32" s="29"/>
    </row>
    <row r="33" spans="2:5" x14ac:dyDescent="0.3">
      <c r="B33" s="25"/>
      <c r="C33" s="24"/>
      <c r="D33" s="24"/>
      <c r="E33" s="29"/>
    </row>
    <row r="34" spans="2:5" x14ac:dyDescent="0.3">
      <c r="B34" s="25"/>
      <c r="C34" s="24"/>
      <c r="D34" s="24"/>
      <c r="E34" s="29"/>
    </row>
    <row r="35" spans="2:5" x14ac:dyDescent="0.3">
      <c r="B35" s="25"/>
      <c r="C35" s="24"/>
      <c r="D35" s="24"/>
      <c r="E35" s="29"/>
    </row>
    <row r="36" spans="2:5" x14ac:dyDescent="0.3">
      <c r="B36" s="25"/>
      <c r="C36" s="24"/>
      <c r="D36" s="24"/>
      <c r="E36" s="29"/>
    </row>
    <row r="37" spans="2:5" x14ac:dyDescent="0.3">
      <c r="B37" s="25"/>
      <c r="C37" s="24"/>
      <c r="D37" s="24"/>
      <c r="E37" s="29"/>
    </row>
    <row r="38" spans="2:5" x14ac:dyDescent="0.3">
      <c r="B38" s="25"/>
      <c r="C38" s="24"/>
      <c r="D38" s="24"/>
      <c r="E38" s="29"/>
    </row>
    <row r="39" spans="2:5" x14ac:dyDescent="0.3">
      <c r="B39" s="25"/>
      <c r="C39" s="24"/>
      <c r="D39" s="24"/>
      <c r="E39" s="29"/>
    </row>
    <row r="40" spans="2:5" x14ac:dyDescent="0.3">
      <c r="B40" s="25"/>
      <c r="C40" s="24"/>
      <c r="D40" s="24"/>
      <c r="E40" s="29"/>
    </row>
    <row r="41" spans="2:5" x14ac:dyDescent="0.3">
      <c r="B41" s="25"/>
      <c r="C41" s="24"/>
      <c r="D41" s="24"/>
      <c r="E41" s="29"/>
    </row>
    <row r="42" spans="2:5" x14ac:dyDescent="0.3">
      <c r="B42" s="25"/>
      <c r="C42" s="24"/>
      <c r="D42" s="24"/>
      <c r="E42" s="29"/>
    </row>
    <row r="43" spans="2:5" x14ac:dyDescent="0.3">
      <c r="B43" s="25"/>
      <c r="C43" s="24"/>
      <c r="D43" s="24"/>
      <c r="E43" s="29"/>
    </row>
    <row r="44" spans="2:5" x14ac:dyDescent="0.3">
      <c r="B44" s="25"/>
      <c r="C44" s="24"/>
      <c r="D44" s="24"/>
      <c r="E44" s="29"/>
    </row>
    <row r="45" spans="2:5" x14ac:dyDescent="0.3">
      <c r="B45" s="25"/>
      <c r="C45" s="24"/>
      <c r="D45" s="24"/>
      <c r="E45" s="29"/>
    </row>
    <row r="46" spans="2:5" x14ac:dyDescent="0.3">
      <c r="B46" s="25"/>
      <c r="C46" s="24"/>
      <c r="D46" s="24"/>
      <c r="E46" s="29"/>
    </row>
    <row r="47" spans="2:5" x14ac:dyDescent="0.3">
      <c r="B47" s="25"/>
      <c r="C47" s="24"/>
      <c r="D47" s="24"/>
      <c r="E47" s="29"/>
    </row>
    <row r="49" spans="2:5" x14ac:dyDescent="0.3">
      <c r="B49" s="6" t="s">
        <v>48</v>
      </c>
      <c r="E49" s="8">
        <f>SUM(TabelaRendimentos[VALOR])</f>
        <v>0</v>
      </c>
    </row>
  </sheetData>
  <sheetProtection sheet="1" objects="1" scenarios="1" selectLockedCells="1"/>
  <mergeCells count="2">
    <mergeCell ref="B2:F2"/>
    <mergeCell ref="B1:F1"/>
  </mergeCell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Valor inválido" error="Selecione um valor da lista." promptTitle="Categoria" prompt="Selecione a origem do rendimento." xr:uid="{00000000-0002-0000-0700-000000000000}">
          <x14:formula1>
            <xm:f>TABELAS!$G$2:$G$7</xm:f>
          </x14:formula1>
          <xm:sqref>C7:C47</xm:sqref>
        </x14:dataValidation>
        <x14:dataValidation type="list" allowBlank="1" showInputMessage="1" showErrorMessage="1" errorTitle="Valor inválido" error="Selecione um valor da lista." promptTitle="Tipo de rendimento" prompt="Classifique conforme o tratamento tributário: Tributável, Isento ou Rendimento Exclusivo." xr:uid="{00000000-0002-0000-0700-000001000000}">
          <x14:formula1>
            <xm:f>TABELAS!$F$2:$F$4</xm:f>
          </x14:formula1>
          <xm:sqref>D7:D47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showGridLines="0" showRowColHeaders="0" workbookViewId="0">
      <selection activeCell="B7" sqref="B7"/>
    </sheetView>
  </sheetViews>
  <sheetFormatPr defaultRowHeight="14.4" x14ac:dyDescent="0.3"/>
  <cols>
    <col min="1" max="1" width="30.77734375" style="21" customWidth="1"/>
    <col min="2" max="2" width="44" customWidth="1"/>
    <col min="3" max="4" width="14" customWidth="1"/>
    <col min="5" max="5" width="30" customWidth="1"/>
  </cols>
  <sheetData>
    <row r="1" spans="2:6" ht="25.95" customHeight="1" x14ac:dyDescent="0.3">
      <c r="B1" s="14" t="s">
        <v>16</v>
      </c>
      <c r="C1" s="13"/>
      <c r="D1" s="13"/>
      <c r="E1" s="13"/>
      <c r="F1" s="13"/>
    </row>
    <row r="2" spans="2:6" ht="18" customHeight="1" x14ac:dyDescent="0.3">
      <c r="B2" s="12" t="s">
        <v>70</v>
      </c>
      <c r="C2" s="13"/>
      <c r="D2" s="13"/>
      <c r="E2" s="13"/>
      <c r="F2" s="13"/>
    </row>
    <row r="4" spans="2:6" x14ac:dyDescent="0.3">
      <c r="B4" s="2"/>
      <c r="D4" s="2"/>
      <c r="F4" s="2"/>
    </row>
    <row r="6" spans="2:6" x14ac:dyDescent="0.3">
      <c r="B6" s="4" t="s">
        <v>71</v>
      </c>
      <c r="C6" s="4" t="s">
        <v>72</v>
      </c>
      <c r="D6" s="4" t="s">
        <v>73</v>
      </c>
      <c r="E6" s="4" t="s">
        <v>74</v>
      </c>
    </row>
    <row r="7" spans="2:6" x14ac:dyDescent="0.3">
      <c r="B7" s="24" t="s">
        <v>75</v>
      </c>
      <c r="C7" s="24"/>
      <c r="D7" s="24"/>
      <c r="E7" s="24"/>
    </row>
    <row r="8" spans="2:6" x14ac:dyDescent="0.3">
      <c r="B8" s="24" t="s">
        <v>76</v>
      </c>
      <c r="C8" s="24"/>
      <c r="D8" s="24"/>
      <c r="E8" s="24"/>
    </row>
    <row r="9" spans="2:6" x14ac:dyDescent="0.3">
      <c r="B9" s="24" t="s">
        <v>77</v>
      </c>
      <c r="C9" s="24"/>
      <c r="D9" s="24"/>
      <c r="E9" s="24"/>
    </row>
    <row r="10" spans="2:6" x14ac:dyDescent="0.3">
      <c r="B10" s="24" t="s">
        <v>78</v>
      </c>
      <c r="C10" s="24"/>
      <c r="D10" s="24"/>
      <c r="E10" s="24"/>
    </row>
    <row r="11" spans="2:6" x14ac:dyDescent="0.3">
      <c r="B11" s="24" t="s">
        <v>79</v>
      </c>
      <c r="C11" s="24"/>
      <c r="D11" s="24"/>
      <c r="E11" s="24"/>
    </row>
    <row r="12" spans="2:6" x14ac:dyDescent="0.3">
      <c r="B12" s="24" t="s">
        <v>80</v>
      </c>
      <c r="C12" s="24"/>
      <c r="D12" s="24"/>
      <c r="E12" s="24"/>
    </row>
    <row r="13" spans="2:6" x14ac:dyDescent="0.3">
      <c r="B13" s="24" t="s">
        <v>81</v>
      </c>
      <c r="C13" s="24"/>
      <c r="D13" s="24"/>
      <c r="E13" s="24"/>
    </row>
    <row r="14" spans="2:6" x14ac:dyDescent="0.3">
      <c r="B14" s="24" t="s">
        <v>82</v>
      </c>
      <c r="C14" s="24"/>
      <c r="D14" s="24"/>
      <c r="E14" s="24"/>
    </row>
    <row r="15" spans="2:6" x14ac:dyDescent="0.3">
      <c r="B15" s="24" t="s">
        <v>83</v>
      </c>
      <c r="C15" s="24"/>
      <c r="D15" s="24"/>
      <c r="E15" s="24"/>
    </row>
    <row r="16" spans="2:6" x14ac:dyDescent="0.3">
      <c r="B16" s="24" t="s">
        <v>84</v>
      </c>
      <c r="C16" s="24"/>
      <c r="D16" s="24"/>
      <c r="E16" s="24"/>
    </row>
    <row r="17" spans="2:5" x14ac:dyDescent="0.3">
      <c r="B17" s="24" t="s">
        <v>85</v>
      </c>
      <c r="C17" s="24"/>
      <c r="D17" s="24"/>
      <c r="E17" s="24"/>
    </row>
    <row r="18" spans="2:5" x14ac:dyDescent="0.3">
      <c r="B18" s="24" t="s">
        <v>86</v>
      </c>
      <c r="C18" s="24"/>
      <c r="D18" s="24"/>
      <c r="E18" s="24"/>
    </row>
    <row r="20" spans="2:5" x14ac:dyDescent="0.3">
      <c r="B20" s="6" t="s">
        <v>87</v>
      </c>
      <c r="C20" s="9" t="str">
        <f>COUNTIF(TabelaChecklist[ANEXADO],"SIM")&amp;" de "&amp;COUNTA(TabelaChecklist[DOCUMENTO])</f>
        <v>0 de 12</v>
      </c>
    </row>
  </sheetData>
  <sheetProtection sheet="1" objects="1" scenarios="1" selectLockedCells="1"/>
  <mergeCells count="2">
    <mergeCell ref="B2:F2"/>
    <mergeCell ref="B1:F1"/>
  </mergeCells>
  <dataValidations count="1">
    <dataValidation type="list" allowBlank="1" showErrorMessage="1" errorTitle="Valor inválido" error="Selecione SIM ou NÃO." sqref="C7:D18" xr:uid="{00000000-0002-0000-0800-000000000000}">
      <formula1>"SIM,NÃO"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showGridLines="0" showRowColHeaders="0" workbookViewId="0">
      <selection activeCell="I1" sqref="I1"/>
    </sheetView>
  </sheetViews>
  <sheetFormatPr defaultRowHeight="14.4" x14ac:dyDescent="0.3"/>
  <cols>
    <col min="1" max="1" width="30.77734375" style="21" customWidth="1"/>
    <col min="2" max="2" width="26" customWidth="1"/>
    <col min="3" max="3" width="20" customWidth="1"/>
    <col min="4" max="4" width="3" customWidth="1"/>
    <col min="5" max="5" width="26" customWidth="1"/>
    <col min="6" max="6" width="20" customWidth="1"/>
    <col min="7" max="8" width="3" customWidth="1"/>
  </cols>
  <sheetData>
    <row r="1" spans="2:8" ht="25.95" customHeight="1" x14ac:dyDescent="0.3">
      <c r="B1" s="14" t="s">
        <v>18</v>
      </c>
      <c r="C1" s="13"/>
      <c r="D1" s="13"/>
      <c r="E1" s="13"/>
      <c r="F1" s="13"/>
      <c r="G1" s="13"/>
      <c r="H1" s="13"/>
    </row>
    <row r="2" spans="2:8" ht="18" customHeight="1" x14ac:dyDescent="0.3">
      <c r="B2" s="12" t="s">
        <v>88</v>
      </c>
      <c r="C2" s="13"/>
      <c r="D2" s="13"/>
      <c r="E2" s="13"/>
      <c r="F2" s="13"/>
      <c r="G2" s="13"/>
      <c r="H2" s="13"/>
    </row>
    <row r="4" spans="2:8" x14ac:dyDescent="0.3">
      <c r="B4" s="2"/>
      <c r="D4" s="2"/>
      <c r="E4" s="19"/>
    </row>
    <row r="5" spans="2:8" x14ac:dyDescent="0.3">
      <c r="B5" s="17" t="s">
        <v>89</v>
      </c>
      <c r="C5" s="16"/>
      <c r="E5" s="17" t="s">
        <v>90</v>
      </c>
      <c r="F5" s="16"/>
    </row>
    <row r="6" spans="2:8" ht="23.4" x14ac:dyDescent="0.45">
      <c r="B6" s="15">
        <f>SUM(TabelaRendimentos[VALOR])</f>
        <v>0</v>
      </c>
      <c r="C6" s="16"/>
      <c r="E6" s="15">
        <f>SUM(TabelaBancos[SALDO ATUAL])</f>
        <v>0</v>
      </c>
      <c r="F6" s="16"/>
    </row>
    <row r="8" spans="2:8" x14ac:dyDescent="0.3">
      <c r="B8" s="17" t="s">
        <v>91</v>
      </c>
      <c r="C8" s="16"/>
      <c r="E8" s="17" t="s">
        <v>92</v>
      </c>
      <c r="F8" s="16"/>
    </row>
    <row r="9" spans="2:8" ht="23.4" x14ac:dyDescent="0.45">
      <c r="B9" s="15">
        <f>SUM(TabelaBens[SITUAÇÃO ANO ATUAL])</f>
        <v>0</v>
      </c>
      <c r="C9" s="16"/>
      <c r="E9" s="15">
        <f>SUM(TabelaDividas[SITUAÇÃO ANO ATUAL])</f>
        <v>0</v>
      </c>
      <c r="F9" s="16"/>
    </row>
    <row r="11" spans="2:8" x14ac:dyDescent="0.3">
      <c r="B11" s="17" t="s">
        <v>93</v>
      </c>
      <c r="C11" s="16"/>
      <c r="E11" s="17" t="s">
        <v>94</v>
      </c>
      <c r="F11" s="16"/>
    </row>
    <row r="12" spans="2:8" ht="23.4" x14ac:dyDescent="0.45">
      <c r="B12" s="15">
        <f>SUM(TabelaBens[SITUAÇÃO ANO ATUAL])-SUM(TabelaDividas[SITUAÇÃO ANO ATUAL])</f>
        <v>0</v>
      </c>
      <c r="C12" s="16"/>
      <c r="E12" s="15">
        <f>SUM(TabelaBens[SITUAÇÃO ANO ANTERIOR])-SUM(TabelaDividas[SITUAÇÃO ANO ANTERIOR])</f>
        <v>0</v>
      </c>
      <c r="F12" s="16"/>
    </row>
    <row r="14" spans="2:8" x14ac:dyDescent="0.3">
      <c r="B14" s="17" t="s">
        <v>95</v>
      </c>
      <c r="C14" s="16"/>
      <c r="E14" s="17" t="s">
        <v>96</v>
      </c>
      <c r="F14" s="16"/>
    </row>
    <row r="15" spans="2:8" ht="23.4" x14ac:dyDescent="0.45">
      <c r="B15" s="15">
        <f>(SUM(TabelaBens[SITUAÇÃO ANO ATUAL])-SUM(TabelaDividas[SITUAÇÃO ANO ATUAL]))-(SUM(TabelaBens[SITUAÇÃO ANO ANTERIOR])-SUM(TabelaDividas[SITUAÇÃO ANO ANTERIOR]))</f>
        <v>0</v>
      </c>
      <c r="C15" s="16"/>
      <c r="E15" s="15">
        <f>SUM(TabelaDespesas[VALOR])</f>
        <v>0</v>
      </c>
      <c r="F15" s="16"/>
    </row>
    <row r="18" spans="2:3" x14ac:dyDescent="0.3">
      <c r="B18" s="17" t="s">
        <v>97</v>
      </c>
      <c r="C18" s="16"/>
    </row>
    <row r="19" spans="2:3" ht="23.4" x14ac:dyDescent="0.45">
      <c r="B19" s="18" t="str">
        <f>COUNTIF(TabelaChecklist[ANEXADO],"SIM")&amp;" de "&amp;COUNTA(TabelaChecklist[DOCUMENTO])</f>
        <v>0 de 12</v>
      </c>
      <c r="C19" s="16"/>
    </row>
    <row r="21" spans="2:3" ht="15.6" x14ac:dyDescent="0.3">
      <c r="B21" s="10" t="s">
        <v>98</v>
      </c>
    </row>
    <row r="22" spans="2:3" x14ac:dyDescent="0.3">
      <c r="B22" s="4" t="s">
        <v>99</v>
      </c>
      <c r="C22" s="4" t="s">
        <v>48</v>
      </c>
    </row>
    <row r="23" spans="2:3" x14ac:dyDescent="0.3">
      <c r="B23" s="3" t="s">
        <v>100</v>
      </c>
      <c r="C23" s="5">
        <f>SUMPRODUCT((MONTH(TabelaRendimentos[DATA])=1)*(TabelaRendimentos[VALOR]))</f>
        <v>0</v>
      </c>
    </row>
    <row r="24" spans="2:3" x14ac:dyDescent="0.3">
      <c r="B24" s="3" t="s">
        <v>101</v>
      </c>
      <c r="C24" s="5">
        <f>SUMPRODUCT((MONTH(TabelaRendimentos[DATA])=2)*(TabelaRendimentos[VALOR]))</f>
        <v>0</v>
      </c>
    </row>
    <row r="25" spans="2:3" x14ac:dyDescent="0.3">
      <c r="B25" s="3" t="s">
        <v>102</v>
      </c>
      <c r="C25" s="5">
        <f>SUMPRODUCT((MONTH(TabelaRendimentos[DATA])=3)*(TabelaRendimentos[VALOR]))</f>
        <v>0</v>
      </c>
    </row>
    <row r="26" spans="2:3" x14ac:dyDescent="0.3">
      <c r="B26" s="3" t="s">
        <v>103</v>
      </c>
      <c r="C26" s="5">
        <f>SUMPRODUCT((MONTH(TabelaRendimentos[DATA])=4)*(TabelaRendimentos[VALOR]))</f>
        <v>0</v>
      </c>
    </row>
    <row r="27" spans="2:3" x14ac:dyDescent="0.3">
      <c r="B27" s="3" t="s">
        <v>104</v>
      </c>
      <c r="C27" s="5">
        <f>SUMPRODUCT((MONTH(TabelaRendimentos[DATA])=5)*(TabelaRendimentos[VALOR]))</f>
        <v>0</v>
      </c>
    </row>
    <row r="28" spans="2:3" x14ac:dyDescent="0.3">
      <c r="B28" s="3" t="s">
        <v>105</v>
      </c>
      <c r="C28" s="5">
        <f>SUMPRODUCT((MONTH(TabelaRendimentos[DATA])=6)*(TabelaRendimentos[VALOR]))</f>
        <v>0</v>
      </c>
    </row>
    <row r="29" spans="2:3" x14ac:dyDescent="0.3">
      <c r="B29" s="3" t="s">
        <v>106</v>
      </c>
      <c r="C29" s="5">
        <f>SUMPRODUCT((MONTH(TabelaRendimentos[DATA])=7)*(TabelaRendimentos[VALOR]))</f>
        <v>0</v>
      </c>
    </row>
    <row r="30" spans="2:3" x14ac:dyDescent="0.3">
      <c r="B30" s="3" t="s">
        <v>107</v>
      </c>
      <c r="C30" s="5">
        <f>SUMPRODUCT((MONTH(TabelaRendimentos[DATA])=8)*(TabelaRendimentos[VALOR]))</f>
        <v>0</v>
      </c>
    </row>
    <row r="31" spans="2:3" x14ac:dyDescent="0.3">
      <c r="B31" s="3" t="s">
        <v>108</v>
      </c>
      <c r="C31" s="5">
        <f>SUMPRODUCT((MONTH(TabelaRendimentos[DATA])=9)*(TabelaRendimentos[VALOR]))</f>
        <v>0</v>
      </c>
    </row>
    <row r="32" spans="2:3" x14ac:dyDescent="0.3">
      <c r="B32" s="3" t="s">
        <v>109</v>
      </c>
      <c r="C32" s="5">
        <f>SUMPRODUCT((MONTH(TabelaRendimentos[DATA])=10)*(TabelaRendimentos[VALOR]))</f>
        <v>0</v>
      </c>
    </row>
    <row r="33" spans="2:3" x14ac:dyDescent="0.3">
      <c r="B33" s="3" t="s">
        <v>110</v>
      </c>
      <c r="C33" s="5">
        <f>SUMPRODUCT((MONTH(TabelaRendimentos[DATA])=11)*(TabelaRendimentos[VALOR]))</f>
        <v>0</v>
      </c>
    </row>
    <row r="34" spans="2:3" x14ac:dyDescent="0.3">
      <c r="B34" s="3" t="s">
        <v>111</v>
      </c>
      <c r="C34" s="5">
        <f>SUMPRODUCT((MONTH(TabelaRendimentos[DATA])=12)*(TabelaRendimentos[VALOR]))</f>
        <v>0</v>
      </c>
    </row>
  </sheetData>
  <sheetProtection sheet="1" objects="1" scenarios="1" selectLockedCells="1"/>
  <mergeCells count="20">
    <mergeCell ref="B1:H1"/>
    <mergeCell ref="B5:C5"/>
    <mergeCell ref="B19:C19"/>
    <mergeCell ref="E11:F11"/>
    <mergeCell ref="B2:H2"/>
    <mergeCell ref="B9:C9"/>
    <mergeCell ref="B6:C6"/>
    <mergeCell ref="B15:C15"/>
    <mergeCell ref="E12:F12"/>
    <mergeCell ref="E5:F5"/>
    <mergeCell ref="E14:F14"/>
    <mergeCell ref="B18:C18"/>
    <mergeCell ref="E8:F8"/>
    <mergeCell ref="B12:C12"/>
    <mergeCell ref="B11:C11"/>
    <mergeCell ref="B14:C14"/>
    <mergeCell ref="E9:F9"/>
    <mergeCell ref="B8:C8"/>
    <mergeCell ref="E6:F6"/>
    <mergeCell ref="E15:F15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1"/>
  <sheetViews>
    <sheetView workbookViewId="0"/>
  </sheetViews>
  <sheetFormatPr defaultRowHeight="14.4" x14ac:dyDescent="0.3"/>
  <sheetData>
    <row r="1" spans="1:7" x14ac:dyDescent="0.3">
      <c r="A1" s="11" t="s">
        <v>112</v>
      </c>
      <c r="B1" s="11" t="s">
        <v>37</v>
      </c>
      <c r="C1" s="11" t="s">
        <v>113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7" x14ac:dyDescent="0.3">
      <c r="A2" t="s">
        <v>118</v>
      </c>
      <c r="B2" t="s">
        <v>41</v>
      </c>
      <c r="C2" t="s">
        <v>55</v>
      </c>
      <c r="D2" t="s">
        <v>58</v>
      </c>
      <c r="E2" t="s">
        <v>63</v>
      </c>
      <c r="F2" t="s">
        <v>69</v>
      </c>
      <c r="G2" t="s">
        <v>68</v>
      </c>
    </row>
    <row r="3" spans="1:7" x14ac:dyDescent="0.3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</row>
    <row r="4" spans="1:7" x14ac:dyDescent="0.3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</row>
    <row r="5" spans="1:7" x14ac:dyDescent="0.3">
      <c r="A5" t="s">
        <v>133</v>
      </c>
      <c r="B5" t="s">
        <v>134</v>
      </c>
      <c r="C5" t="s">
        <v>135</v>
      </c>
      <c r="D5" t="s">
        <v>136</v>
      </c>
      <c r="E5" t="s">
        <v>137</v>
      </c>
      <c r="G5" t="s">
        <v>138</v>
      </c>
    </row>
    <row r="6" spans="1:7" x14ac:dyDescent="0.3">
      <c r="A6" t="s">
        <v>139</v>
      </c>
      <c r="B6" t="s">
        <v>140</v>
      </c>
      <c r="C6" t="s">
        <v>141</v>
      </c>
      <c r="D6" t="s">
        <v>142</v>
      </c>
      <c r="E6" t="s">
        <v>143</v>
      </c>
      <c r="G6" t="s">
        <v>144</v>
      </c>
    </row>
    <row r="7" spans="1:7" x14ac:dyDescent="0.3">
      <c r="A7" t="s">
        <v>145</v>
      </c>
      <c r="B7" t="s">
        <v>146</v>
      </c>
      <c r="C7" t="s">
        <v>147</v>
      </c>
      <c r="E7" t="s">
        <v>148</v>
      </c>
      <c r="G7" t="s">
        <v>149</v>
      </c>
    </row>
    <row r="8" spans="1:7" x14ac:dyDescent="0.3">
      <c r="A8" t="s">
        <v>150</v>
      </c>
      <c r="B8" t="s">
        <v>151</v>
      </c>
      <c r="C8" t="s">
        <v>152</v>
      </c>
    </row>
    <row r="9" spans="1:7" x14ac:dyDescent="0.3">
      <c r="A9" t="s">
        <v>153</v>
      </c>
      <c r="C9" t="s">
        <v>154</v>
      </c>
    </row>
    <row r="10" spans="1:7" x14ac:dyDescent="0.3">
      <c r="A10" t="s">
        <v>155</v>
      </c>
    </row>
    <row r="11" spans="1:7" x14ac:dyDescent="0.3">
      <c r="A11" t="s">
        <v>156</v>
      </c>
    </row>
    <row r="12" spans="1:7" x14ac:dyDescent="0.3">
      <c r="A12" t="s">
        <v>157</v>
      </c>
    </row>
    <row r="13" spans="1:7" x14ac:dyDescent="0.3">
      <c r="A13" t="s">
        <v>158</v>
      </c>
    </row>
    <row r="14" spans="1:7" x14ac:dyDescent="0.3">
      <c r="A14" t="s">
        <v>159</v>
      </c>
    </row>
    <row r="15" spans="1:7" x14ac:dyDescent="0.3">
      <c r="A15" t="s">
        <v>160</v>
      </c>
    </row>
    <row r="16" spans="1:7" x14ac:dyDescent="0.3">
      <c r="A16" t="s">
        <v>161</v>
      </c>
    </row>
    <row r="17" spans="1:1" x14ac:dyDescent="0.3">
      <c r="A17" t="s">
        <v>162</v>
      </c>
    </row>
    <row r="18" spans="1:1" x14ac:dyDescent="0.3">
      <c r="A18" t="s">
        <v>163</v>
      </c>
    </row>
    <row r="19" spans="1:1" x14ac:dyDescent="0.3">
      <c r="A19" t="s">
        <v>164</v>
      </c>
    </row>
    <row r="20" spans="1:1" x14ac:dyDescent="0.3">
      <c r="A20" t="s">
        <v>165</v>
      </c>
    </row>
    <row r="21" spans="1:1" x14ac:dyDescent="0.3">
      <c r="A21" t="s">
        <v>166</v>
      </c>
    </row>
    <row r="22" spans="1:1" x14ac:dyDescent="0.3">
      <c r="A22" t="s">
        <v>167</v>
      </c>
    </row>
    <row r="23" spans="1:1" x14ac:dyDescent="0.3">
      <c r="A23" t="s">
        <v>168</v>
      </c>
    </row>
    <row r="24" spans="1:1" x14ac:dyDescent="0.3">
      <c r="A24" t="s">
        <v>169</v>
      </c>
    </row>
    <row r="25" spans="1:1" x14ac:dyDescent="0.3">
      <c r="A25" t="s">
        <v>170</v>
      </c>
    </row>
    <row r="26" spans="1:1" x14ac:dyDescent="0.3">
      <c r="A26" t="s">
        <v>171</v>
      </c>
    </row>
    <row r="27" spans="1:1" x14ac:dyDescent="0.3">
      <c r="A27" t="s">
        <v>172</v>
      </c>
    </row>
    <row r="28" spans="1:1" x14ac:dyDescent="0.3">
      <c r="A28" t="s">
        <v>173</v>
      </c>
    </row>
    <row r="29" spans="1:1" x14ac:dyDescent="0.3">
      <c r="A29" t="s">
        <v>174</v>
      </c>
    </row>
    <row r="30" spans="1:1" x14ac:dyDescent="0.3">
      <c r="A30" t="s">
        <v>175</v>
      </c>
    </row>
    <row r="31" spans="1:1" x14ac:dyDescent="0.3">
      <c r="A31" t="s">
        <v>176</v>
      </c>
    </row>
    <row r="32" spans="1:1" x14ac:dyDescent="0.3">
      <c r="A32" t="s">
        <v>177</v>
      </c>
    </row>
    <row r="33" spans="1:1" x14ac:dyDescent="0.3">
      <c r="A33" t="s">
        <v>178</v>
      </c>
    </row>
    <row r="34" spans="1:1" x14ac:dyDescent="0.3">
      <c r="A34" t="s">
        <v>179</v>
      </c>
    </row>
    <row r="35" spans="1:1" x14ac:dyDescent="0.3">
      <c r="A35" t="s">
        <v>180</v>
      </c>
    </row>
    <row r="36" spans="1:1" x14ac:dyDescent="0.3">
      <c r="A36" t="s">
        <v>181</v>
      </c>
    </row>
    <row r="37" spans="1:1" x14ac:dyDescent="0.3">
      <c r="A37" t="s">
        <v>182</v>
      </c>
    </row>
    <row r="38" spans="1:1" x14ac:dyDescent="0.3">
      <c r="A38" t="s">
        <v>183</v>
      </c>
    </row>
    <row r="39" spans="1:1" x14ac:dyDescent="0.3">
      <c r="A39" t="s">
        <v>184</v>
      </c>
    </row>
    <row r="40" spans="1:1" x14ac:dyDescent="0.3">
      <c r="A40" t="s">
        <v>185</v>
      </c>
    </row>
    <row r="41" spans="1:1" x14ac:dyDescent="0.3">
      <c r="A41" t="s">
        <v>186</v>
      </c>
    </row>
    <row r="42" spans="1:1" x14ac:dyDescent="0.3">
      <c r="A42" t="s">
        <v>187</v>
      </c>
    </row>
    <row r="43" spans="1:1" x14ac:dyDescent="0.3">
      <c r="A43" t="s">
        <v>188</v>
      </c>
    </row>
    <row r="44" spans="1:1" x14ac:dyDescent="0.3">
      <c r="A44" t="s">
        <v>189</v>
      </c>
    </row>
    <row r="45" spans="1:1" x14ac:dyDescent="0.3">
      <c r="A45" t="s">
        <v>190</v>
      </c>
    </row>
    <row r="46" spans="1:1" x14ac:dyDescent="0.3">
      <c r="A46" t="s">
        <v>191</v>
      </c>
    </row>
    <row r="47" spans="1:1" x14ac:dyDescent="0.3">
      <c r="A47" t="s">
        <v>192</v>
      </c>
    </row>
    <row r="48" spans="1:1" x14ac:dyDescent="0.3">
      <c r="A48" t="s">
        <v>193</v>
      </c>
    </row>
    <row r="49" spans="1:1" x14ac:dyDescent="0.3">
      <c r="A49" t="s">
        <v>194</v>
      </c>
    </row>
    <row r="50" spans="1:1" x14ac:dyDescent="0.3">
      <c r="A50" t="s">
        <v>195</v>
      </c>
    </row>
    <row r="51" spans="1:1" x14ac:dyDescent="0.3">
      <c r="A51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MENU</vt:lpstr>
      <vt:lpstr>TITULAR</vt:lpstr>
      <vt:lpstr>DEPENDENTES</vt:lpstr>
      <vt:lpstr>INFORMES</vt:lpstr>
      <vt:lpstr>BENS</vt:lpstr>
      <vt:lpstr>DIVIDAS</vt:lpstr>
      <vt:lpstr>DESPESAS</vt:lpstr>
      <vt:lpstr>RENDIMENTOS</vt:lpstr>
      <vt:lpstr>CHECKLIST</vt:lpstr>
      <vt:lpstr>RESUMO</vt:lpstr>
      <vt:lpstr>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FERNANDES</cp:lastModifiedBy>
  <dcterms:created xsi:type="dcterms:W3CDTF">2026-08-27T21:56:56Z</dcterms:created>
  <dcterms:modified xsi:type="dcterms:W3CDTF">2026-08-27T23:58:19Z</dcterms:modified>
</cp:coreProperties>
</file>